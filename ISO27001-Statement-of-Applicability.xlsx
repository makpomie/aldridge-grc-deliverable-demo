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A Cover &amp; Approval" sheetId="1" state="visible" r:id="rId3"/>
    <sheet name="Statement of Applicability" sheetId="2" state="visible" r:id="rId4"/>
    <sheet name="SoA Summary" sheetId="3" state="visible" r:id="rId5"/>
  </sheets>
  <definedNames>
    <definedName function="false" hidden="true" localSheetId="1" name="_xlnm._FilterDatabase" vbProcedure="false">'Statement of Applicability'!$A$3:$M$96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<sst xmlns="http://schemas.openxmlformats.org/spreadsheetml/2006/main" count="1281" uniqueCount="505">
  <si>
    <t xml:space="preserve">Statement of Applicability</t>
  </si>
  <si>
    <t xml:space="preserve">Aldridge Financial Technologies  |  AFT-ISMS-SOA-01  |  Version 1.0  |  Classification: Confidential</t>
  </si>
  <si>
    <t xml:space="preserve">WHAT THIS DOCUMENT IS</t>
  </si>
  <si>
    <t xml:space="preserve">The Statement of Applicability is required by ISO/IEC 27001:2022 clause 6.1.3(d). It records, for every control in Annex A, whether the control is applicable to Aldridge, why, whether it is implemented, and where it is implemented. It is the document a certification body audits against, and it is the bridge between the risk treatment plan and the control set.</t>
  </si>
  <si>
    <t xml:space="preserve">This version supersedes draft v0.3, which was never reviewed or approved and which is recorded as weakness W-01 in AFT-CTX-01.</t>
  </si>
  <si>
    <t xml:space="preserve">SCOPE OF THE ISMS</t>
  </si>
  <si>
    <t xml:space="preserve">The information security management system supporting the design, development, operation and support of the Aldridge Pay, Aldridge Credit and Aldridge Ledger platforms, and the corporate functions that support them, delivered from AWS regions us-east-1, us-west-2 and eu-west-2 and from the company's offices in Austin, Texas and London, United Kingdom.</t>
  </si>
  <si>
    <t xml:space="preserve">SCOPE CAVEAT: this scope cannot be finalised while approximately 40 unregistered software-as-a-service applications remain untriaged (W-04). Approving the SoA against an unstable scope would be unsound. The triage under A.5.23 is a precondition of approval, not a parallel activity.</t>
  </si>
  <si>
    <t xml:space="preserve">BASIS FOR INCLUSION</t>
  </si>
  <si>
    <t xml:space="preserve">Risk assessment</t>
  </si>
  <si>
    <t xml:space="preserve">The control treats one or more risks in AFT-ISMS-RSK-01. Linked risk IDs are shown per control.</t>
  </si>
  <si>
    <t xml:space="preserve">Legal / regulatory</t>
  </si>
  <si>
    <t xml:space="preserve">The control is required by a legal or regulatory obligation in AFT-CTX-01 section 1.2. The specific driver is named.</t>
  </si>
  <si>
    <t xml:space="preserve">Contractual</t>
  </si>
  <si>
    <t xml:space="preserve">The control is required by a customer or supplier contractual commitment.</t>
  </si>
  <si>
    <t xml:space="preserve">Best practice</t>
  </si>
  <si>
    <t xml:space="preserve">The control is included on the judgement that it is expected of an organisation of this type, absent a specific risk, legal or contractual driver.</t>
  </si>
  <si>
    <t xml:space="preserve">EXCLUSIONS</t>
  </si>
  <si>
    <t xml:space="preserve">One control is excluded: A.8.30 Outsourced development. All software development is performed in-house by employed engineers and by contractors working within Aldridge teams, under Aldridge management, using Aldridge repositories, tooling and the standard secure development lifecycle. No development activity is outsourced to a supplier. The exclusion is reviewed at each SoA revision and would be reversed immediately on any decision to outsource development.</t>
  </si>
  <si>
    <t xml:space="preserve">CURRENT POSITION</t>
  </si>
  <si>
    <t xml:space="preserve">This SoA records the position as assessed in AFT-ISMS-GAP-01. Forty-six of ninety-two applicable controls are implemented at a certifiable maturity; forty-three are partially implemented and three are not implemented. The SoA is nonetheless complete and approvable: clause 6.1.3(d) requires that the SoA state whether controls are implemented, not that they all are. Controls not yet implemented are covered by the risk treatment plan.</t>
  </si>
  <si>
    <t xml:space="preserve">REVIEW</t>
  </si>
  <si>
    <t xml:space="preserve">Reviewed at least annually, on completion of each risk assessment, on material change to the scope, and on any change to the Annex A control set. Every revision is version-controlled and re-approved.</t>
  </si>
  <si>
    <t xml:space="preserve">APPROVAL</t>
  </si>
  <si>
    <t xml:space="preserve">Role</t>
  </si>
  <si>
    <t xml:space="preserve">Name</t>
  </si>
  <si>
    <t xml:space="preserve">Responsibility</t>
  </si>
  <si>
    <t xml:space="preserve">Signature</t>
  </si>
  <si>
    <t xml:space="preserve">Date</t>
  </si>
  <si>
    <t xml:space="preserve">Prepared by</t>
  </si>
  <si>
    <t xml:space="preserve">Chidi Eze, Head of Security Governance</t>
  </si>
  <si>
    <t xml:space="preserve">Compiled the control assessment and applicability determinations</t>
  </si>
  <si>
    <t xml:space="preserve">Reviewed by</t>
  </si>
  <si>
    <t xml:space="preserve">Helen Achebe-Ward, Chief Information Security Officer</t>
  </si>
  <si>
    <t xml:space="preserve">Confirms the control selection reflects the risk treatment plan</t>
  </si>
  <si>
    <t xml:space="preserve">Approved by</t>
  </si>
  <si>
    <t xml:space="preserve">Executive Risk Committee</t>
  </si>
  <si>
    <t xml:space="preserve">Approves the applicability determinations and the exclusion at A.8.30</t>
  </si>
  <si>
    <t xml:space="preserve">Noted by</t>
  </si>
  <si>
    <t xml:space="preserve">Faisal Rahman, Head of Internal Audit</t>
  </si>
  <si>
    <t xml:space="preserve">Independent awareness; does not constitute assurance</t>
  </si>
  <si>
    <t xml:space="preserve">UNAPPROVED. This Statement of Applicability is complete but unsigned. Until the approval block is executed, ISO/IEC 27001 clause 6.1.3(d) is not satisfied and the ISMS is not certifiable. Approval should follow completion of the SaaS triage under A.5.23, on which the scope statement depends.</t>
  </si>
  <si>
    <t xml:space="preserve">Statement of Applicability — all 93 Annex A controls</t>
  </si>
  <si>
    <t xml:space="preserve">Attributes per ISO/IEC 27002:2022 clause 4.2. Risk linkage derived from AFT-ISMS-RSK-01 v2.0.</t>
  </si>
  <si>
    <t xml:space="preserve">Ref</t>
  </si>
  <si>
    <t xml:space="preserve">Control</t>
  </si>
  <si>
    <t xml:space="preserve">Theme</t>
  </si>
  <si>
    <t xml:space="preserve">Applicable</t>
  </si>
  <si>
    <t xml:space="preserve">Basis for inclusion / justification for exclusion</t>
  </si>
  <si>
    <t xml:space="preserve">Linked risks</t>
  </si>
  <si>
    <t xml:space="preserve">Legal or regulatory driver</t>
  </si>
  <si>
    <t xml:space="preserve">Control type</t>
  </si>
  <si>
    <t xml:space="preserve">Properties</t>
  </si>
  <si>
    <t xml:space="preserve">Cybersecurity concepts</t>
  </si>
  <si>
    <t xml:space="preserve">Operational capability</t>
  </si>
  <si>
    <t xml:space="preserve">Implementation status</t>
  </si>
  <si>
    <t xml:space="preserve">Implemented by</t>
  </si>
  <si>
    <t xml:space="preserve">A.5.1</t>
  </si>
  <si>
    <t xml:space="preserve">Policies for information security</t>
  </si>
  <si>
    <t xml:space="preserve">Organisational</t>
  </si>
  <si>
    <t xml:space="preserve">Yes</t>
  </si>
  <si>
    <t xml:space="preserve">Best practice — expected of an organisation of this type</t>
  </si>
  <si>
    <t xml:space="preserve">—</t>
  </si>
  <si>
    <t xml:space="preserve">Preventive</t>
  </si>
  <si>
    <t xml:space="preserve">C I A</t>
  </si>
  <si>
    <t xml:space="preserve">Identify</t>
  </si>
  <si>
    <t xml:space="preserve">Governance</t>
  </si>
  <si>
    <t xml:space="preserve">Partially implemented</t>
  </si>
  <si>
    <t xml:space="preserve">POL-05 (to be written), POL-01 to POL-09</t>
  </si>
  <si>
    <t xml:space="preserve">A.5.2</t>
  </si>
  <si>
    <t xml:space="preserve">Information security roles and responsibilities</t>
  </si>
  <si>
    <t xml:space="preserve">POL-05, ISMS roles matrix (to be produced)</t>
  </si>
  <si>
    <t xml:space="preserve">A.5.3</t>
  </si>
  <si>
    <t xml:space="preserve">Segregation of duties</t>
  </si>
  <si>
    <t xml:space="preserve">Protect</t>
  </si>
  <si>
    <t xml:space="preserve">Governance / IAM</t>
  </si>
  <si>
    <t xml:space="preserve">POL-03 s3, Okta entitlement rules</t>
  </si>
  <si>
    <t xml:space="preserve">A.5.4</t>
  </si>
  <si>
    <t xml:space="preserve">Management responsibilities</t>
  </si>
  <si>
    <t xml:space="preserve">POL-05, ERC terms of reference</t>
  </si>
  <si>
    <t xml:space="preserve">A.5.5</t>
  </si>
  <si>
    <t xml:space="preserve">Contact with authorities</t>
  </si>
  <si>
    <t xml:space="preserve">UK GDPR Art. 33; NYDFS 500.17(a); FinCEN SAR</t>
  </si>
  <si>
    <t xml:space="preserve">Preventive/Corrective</t>
  </si>
  <si>
    <t xml:space="preserve">Identify / Respond / Recover</t>
  </si>
  <si>
    <t xml:space="preserve">Implemented</t>
  </si>
  <si>
    <t xml:space="preserve">POL-02 s7 notification matrix</t>
  </si>
  <si>
    <t xml:space="preserve">A.5.6</t>
  </si>
  <si>
    <t xml:space="preserve">Contact with special interest groups</t>
  </si>
  <si>
    <t xml:space="preserve">Protect / Respond</t>
  </si>
  <si>
    <t xml:space="preserve">Security Operations — informal</t>
  </si>
  <si>
    <t xml:space="preserve">A.5.7</t>
  </si>
  <si>
    <t xml:space="preserve">Threat intelligence</t>
  </si>
  <si>
    <t xml:space="preserve">Risk assessment (R-29)</t>
  </si>
  <si>
    <t xml:space="preserve">R-29</t>
  </si>
  <si>
    <t xml:space="preserve">Preventive/Detective</t>
  </si>
  <si>
    <t xml:space="preserve">Identify / Detect / Respond</t>
  </si>
  <si>
    <t xml:space="preserve">Threat &amp; vulnerability mgmt</t>
  </si>
  <si>
    <t xml:space="preserve">Not implemented</t>
  </si>
  <si>
    <t xml:space="preserve">None</t>
  </si>
  <si>
    <t xml:space="preserve">A.5.8</t>
  </si>
  <si>
    <t xml:space="preserve">Information security in project management</t>
  </si>
  <si>
    <t xml:space="preserve">Identify / Protect</t>
  </si>
  <si>
    <t xml:space="preserve">Delivery lifecycle — no security gate</t>
  </si>
  <si>
    <t xml:space="preserve">A.5.9</t>
  </si>
  <si>
    <t xml:space="preserve">Inventory of information and other associated assets</t>
  </si>
  <si>
    <t xml:space="preserve">Risk assessment (R-04)</t>
  </si>
  <si>
    <t xml:space="preserve">R-04</t>
  </si>
  <si>
    <t xml:space="preserve">Asset management</t>
  </si>
  <si>
    <t xml:space="preserve">Asset register, Wiz, Terraform state, data catalogue</t>
  </si>
  <si>
    <t xml:space="preserve">A.5.10</t>
  </si>
  <si>
    <t xml:space="preserve">Acceptable use of information and other associated assets</t>
  </si>
  <si>
    <t xml:space="preserve">POL-01 v2.1</t>
  </si>
  <si>
    <t xml:space="preserve">A.5.11</t>
  </si>
  <si>
    <t xml:space="preserve">Return of assets</t>
  </si>
  <si>
    <t xml:space="preserve">PRO-03, HRIS offboarding workflow</t>
  </si>
  <si>
    <t xml:space="preserve">A.5.12</t>
  </si>
  <si>
    <t xml:space="preserve">Classification of information</t>
  </si>
  <si>
    <t xml:space="preserve">Information protection</t>
  </si>
  <si>
    <t xml:space="preserve">POL-04 v2.0</t>
  </si>
  <si>
    <t xml:space="preserve">A.5.13</t>
  </si>
  <si>
    <t xml:space="preserve">Labelling of information</t>
  </si>
  <si>
    <t xml:space="preserve">POL-04 s5, Google Workspace labelling</t>
  </si>
  <si>
    <t xml:space="preserve">A.5.14</t>
  </si>
  <si>
    <t xml:space="preserve">Information transfer</t>
  </si>
  <si>
    <t xml:space="preserve">Asset mgmt / Information protection</t>
  </si>
  <si>
    <t xml:space="preserve">POL-04 s6.2, secure transfer platform</t>
  </si>
  <si>
    <t xml:space="preserve">A.5.15</t>
  </si>
  <si>
    <t xml:space="preserve">Access control</t>
  </si>
  <si>
    <t xml:space="preserve">IAM</t>
  </si>
  <si>
    <t xml:space="preserve">POL-03 v2.2</t>
  </si>
  <si>
    <t xml:space="preserve">A.5.16</t>
  </si>
  <si>
    <t xml:space="preserve">Identity management</t>
  </si>
  <si>
    <t xml:space="preserve">POL-03 s4.1, Okta</t>
  </si>
  <si>
    <t xml:space="preserve">A.5.17</t>
  </si>
  <si>
    <t xml:space="preserve">Authentication information</t>
  </si>
  <si>
    <t xml:space="preserve">Risk assessment (R-02)</t>
  </si>
  <si>
    <t xml:space="preserve">R-02</t>
  </si>
  <si>
    <t xml:space="preserve">POL-03 s4.4, STD-02, HashiCorp Vault</t>
  </si>
  <si>
    <t xml:space="preserve">A.5.18</t>
  </si>
  <si>
    <t xml:space="preserve">Access rights</t>
  </si>
  <si>
    <t xml:space="preserve">PCI DSS Req. 7, 8</t>
  </si>
  <si>
    <t xml:space="preserve">POL-03 s4.7, Okta access reviews</t>
  </si>
  <si>
    <t xml:space="preserve">A.5.19</t>
  </si>
  <si>
    <t xml:space="preserve">Information security in supplier relationships</t>
  </si>
  <si>
    <t xml:space="preserve">Risk assessment (R-07, R-10); Legal / regulatory; Contractual</t>
  </si>
  <si>
    <t xml:space="preserve">R-07, R-10</t>
  </si>
  <si>
    <t xml:space="preserve">NYDFS 500.11; FCA outsourcing</t>
  </si>
  <si>
    <t xml:space="preserve">Supplier relationships security</t>
  </si>
  <si>
    <t xml:space="preserve">POL-09 v1.3</t>
  </si>
  <si>
    <t xml:space="preserve">A.5.20</t>
  </si>
  <si>
    <t xml:space="preserve">Addressing information security within supplier agreements</t>
  </si>
  <si>
    <t xml:space="preserve">Risk assessment (R-07, R-39); Contractual</t>
  </si>
  <si>
    <t xml:space="preserve">R-07, R-39</t>
  </si>
  <si>
    <t xml:space="preserve">Standard security schedule (2023 onward)</t>
  </si>
  <si>
    <t xml:space="preserve">A.5.21</t>
  </si>
  <si>
    <t xml:space="preserve">Managing information security in the ICT supply chain</t>
  </si>
  <si>
    <t xml:space="preserve">Risk assessment (R-09, R-41)</t>
  </si>
  <si>
    <t xml:space="preserve">R-09, R-41</t>
  </si>
  <si>
    <t xml:space="preserve">A.5.22</t>
  </si>
  <si>
    <t xml:space="preserve">Monitoring, review and change management of supplier services</t>
  </si>
  <si>
    <t xml:space="preserve">Risk assessment (R-07, R-40); Contractual</t>
  </si>
  <si>
    <t xml:space="preserve">R-07, R-40</t>
  </si>
  <si>
    <t xml:space="preserve">POL-09 s reassessment — not operating</t>
  </si>
  <si>
    <t xml:space="preserve">A.5.23</t>
  </si>
  <si>
    <t xml:space="preserve">Information security for use of cloud services</t>
  </si>
  <si>
    <t xml:space="preserve">Risk assessment (R-04, R-36, R-47)</t>
  </si>
  <si>
    <t xml:space="preserve">R-04, R-36, R-47</t>
  </si>
  <si>
    <t xml:space="preserve">POL-01 s3.6, AWS landing zones, Wiz; SaaS ungoverned</t>
  </si>
  <si>
    <t xml:space="preserve">A.5.24</t>
  </si>
  <si>
    <t xml:space="preserve">Information security incident management planning and preparation</t>
  </si>
  <si>
    <t xml:space="preserve">Legal / regulatory; Contractual</t>
  </si>
  <si>
    <t xml:space="preserve">NYDFS 500.16</t>
  </si>
  <si>
    <t xml:space="preserve">Corrective</t>
  </si>
  <si>
    <t xml:space="preserve">Respond / Recover</t>
  </si>
  <si>
    <t xml:space="preserve">Governance / Event mgmt</t>
  </si>
  <si>
    <t xml:space="preserve">POL-02 v3.0, PLN-01, DFIR retainer</t>
  </si>
  <si>
    <t xml:space="preserve">A.5.25</t>
  </si>
  <si>
    <t xml:space="preserve">Assessment and decision on information security events</t>
  </si>
  <si>
    <t xml:space="preserve">Detective/Corrective</t>
  </si>
  <si>
    <t xml:space="preserve">Detect / Respond</t>
  </si>
  <si>
    <t xml:space="preserve">Event management</t>
  </si>
  <si>
    <t xml:space="preserve">POL-02 s5 severity model</t>
  </si>
  <si>
    <t xml:space="preserve">A.5.26</t>
  </si>
  <si>
    <t xml:space="preserve">Response to information security incidents</t>
  </si>
  <si>
    <t xml:space="preserve">POL-02 s6</t>
  </si>
  <si>
    <t xml:space="preserve">A.5.27</t>
  </si>
  <si>
    <t xml:space="preserve">Learning from information security incidents</t>
  </si>
  <si>
    <t xml:space="preserve">POL-02 s6.6</t>
  </si>
  <si>
    <t xml:space="preserve">A.5.28</t>
  </si>
  <si>
    <t xml:space="preserve">Collection of evidence</t>
  </si>
  <si>
    <t xml:space="preserve">STD-08</t>
  </si>
  <si>
    <t xml:space="preserve">A.5.29</t>
  </si>
  <si>
    <t xml:space="preserve">Information security during disruption</t>
  </si>
  <si>
    <t xml:space="preserve">Risk assessment (R-01, R-15)</t>
  </si>
  <si>
    <t xml:space="preserve">R-01, R-15</t>
  </si>
  <si>
    <t xml:space="preserve">Protect / Respond / Recover</t>
  </si>
  <si>
    <t xml:space="preserve">Continuity</t>
  </si>
  <si>
    <t xml:space="preserve">POL-08, PLN-03</t>
  </si>
  <si>
    <t xml:space="preserve">A.5.30</t>
  </si>
  <si>
    <t xml:space="preserve">ICT readiness for business continuity</t>
  </si>
  <si>
    <t xml:space="preserve">Risk assessment (R-01, R-15, R-38)</t>
  </si>
  <si>
    <t xml:space="preserve">R-01, R-15, R-38</t>
  </si>
  <si>
    <t xml:space="preserve">A</t>
  </si>
  <si>
    <t xml:space="preserve">Respond</t>
  </si>
  <si>
    <t xml:space="preserve">PLN-03, AWS multi-region</t>
  </si>
  <si>
    <t xml:space="preserve">A.5.31</t>
  </si>
  <si>
    <t xml:space="preserve">Legal, statutory, regulatory and contractual requirements</t>
  </si>
  <si>
    <t xml:space="preserve">Risk assessment (R-28); Legal / regulatory</t>
  </si>
  <si>
    <t xml:space="preserve">R-28</t>
  </si>
  <si>
    <t xml:space="preserve">UK GDPR, PCI DSS, state MTL, FCA</t>
  </si>
  <si>
    <t xml:space="preserve">Legal &amp; compliance</t>
  </si>
  <si>
    <t xml:space="preserve">Legal obligations register</t>
  </si>
  <si>
    <t xml:space="preserve">A.5.32</t>
  </si>
  <si>
    <t xml:space="preserve">Intellectual property rights</t>
  </si>
  <si>
    <t xml:space="preserve">Copyright and licensing law</t>
  </si>
  <si>
    <t xml:space="preserve">Jamf/Intune licence mgmt, SCA in CI</t>
  </si>
  <si>
    <t xml:space="preserve">A.5.33</t>
  </si>
  <si>
    <t xml:space="preserve">Protection of records</t>
  </si>
  <si>
    <t xml:space="preserve">Risk assessment (R-05); Legal / regulatory</t>
  </si>
  <si>
    <t xml:space="preserve">R-05</t>
  </si>
  <si>
    <t xml:space="preserve">UK GDPR Art. 5(1)(e), records retention law</t>
  </si>
  <si>
    <t xml:space="preserve">SCH-01 — not technically enforced</t>
  </si>
  <si>
    <t xml:space="preserve">A.5.34</t>
  </si>
  <si>
    <t xml:space="preserve">Privacy and protection of personal identifiable information</t>
  </si>
  <si>
    <t xml:space="preserve">UK GDPR Art. 5, 25, 32</t>
  </si>
  <si>
    <t xml:space="preserve">Information protection / Legal &amp; compliance</t>
  </si>
  <si>
    <t xml:space="preserve">LEG-POL-01, DPO function, DPIA process</t>
  </si>
  <si>
    <t xml:space="preserve">A.5.35</t>
  </si>
  <si>
    <t xml:space="preserve">Independent review of information security</t>
  </si>
  <si>
    <t xml:space="preserve">Information security assurance</t>
  </si>
  <si>
    <t xml:space="preserve">PCI QSA, SOC 2 auditor, Internal Audit — ISMS not covered</t>
  </si>
  <si>
    <t xml:space="preserve">A.5.36</t>
  </si>
  <si>
    <t xml:space="preserve">Compliance with policies, rules and standards for information security</t>
  </si>
  <si>
    <t xml:space="preserve">Risk assessment (R-27)</t>
  </si>
  <si>
    <t xml:space="preserve">R-27</t>
  </si>
  <si>
    <t xml:space="preserve">Spreadsheet-based; no GRC tooling</t>
  </si>
  <si>
    <t xml:space="preserve">A.5.37</t>
  </si>
  <si>
    <t xml:space="preserve">Documented operating procedures</t>
  </si>
  <si>
    <t xml:space="preserve">Protect / Recover</t>
  </si>
  <si>
    <t xml:space="preserve">Asset mgmt / Governance</t>
  </si>
  <si>
    <t xml:space="preserve">SOC and platform runbooks; patchy elsewhere</t>
  </si>
  <si>
    <t xml:space="preserve">A.6.1</t>
  </si>
  <si>
    <t xml:space="preserve">Screening</t>
  </si>
  <si>
    <t xml:space="preserve">People</t>
  </si>
  <si>
    <t xml:space="preserve">PCI DSS Req. 12.7</t>
  </si>
  <si>
    <t xml:space="preserve">Human resource security</t>
  </si>
  <si>
    <t xml:space="preserve">People Ops screening process</t>
  </si>
  <si>
    <t xml:space="preserve">A.6.2</t>
  </si>
  <si>
    <t xml:space="preserve">Terms and conditions of employment</t>
  </si>
  <si>
    <t xml:space="preserve">Employment and contractor agreements</t>
  </si>
  <si>
    <t xml:space="preserve">A.6.3</t>
  </si>
  <si>
    <t xml:space="preserve">Information security awareness, education and training</t>
  </si>
  <si>
    <t xml:space="preserve">Risk assessment (R-12); Legal / regulatory</t>
  </si>
  <si>
    <t xml:space="preserve">R-12</t>
  </si>
  <si>
    <t xml:space="preserve">PCI DSS Req. 12.6; NYDFS 500.14(a)</t>
  </si>
  <si>
    <t xml:space="preserve">PRG-01, KnowBe4</t>
  </si>
  <si>
    <t xml:space="preserve">A.6.4</t>
  </si>
  <si>
    <t xml:space="preserve">Disciplinary process</t>
  </si>
  <si>
    <t xml:space="preserve">HR-POL-02</t>
  </si>
  <si>
    <t xml:space="preserve">A.6.5</t>
  </si>
  <si>
    <t xml:space="preserve">Responsibilities after termination or change of employment</t>
  </si>
  <si>
    <t xml:space="preserve">Contracts, PRO-03</t>
  </si>
  <si>
    <t xml:space="preserve">A.6.6</t>
  </si>
  <si>
    <t xml:space="preserve">Confidentiality or non-disclosure agreements</t>
  </si>
  <si>
    <t xml:space="preserve">C</t>
  </si>
  <si>
    <t xml:space="preserve">NDA process — no register</t>
  </si>
  <si>
    <t xml:space="preserve">A.6.7</t>
  </si>
  <si>
    <t xml:space="preserve">Remote working</t>
  </si>
  <si>
    <t xml:space="preserve">Asset mgmt / Physical security</t>
  </si>
  <si>
    <t xml:space="preserve">POL-01 s3.8, zero trust access</t>
  </si>
  <si>
    <t xml:space="preserve">A.6.8</t>
  </si>
  <si>
    <t xml:space="preserve">Information security event reporting</t>
  </si>
  <si>
    <t xml:space="preserve">Risk assessment (R-11)</t>
  </si>
  <si>
    <t xml:space="preserve">R-11</t>
  </si>
  <si>
    <t xml:space="preserve">Detective</t>
  </si>
  <si>
    <t xml:space="preserve">Detect</t>
  </si>
  <si>
    <t xml:space="preserve">POL-02 s4, Report Phishing button, hotline</t>
  </si>
  <si>
    <t xml:space="preserve">A.7.1</t>
  </si>
  <si>
    <t xml:space="preserve">Physical security perimeters</t>
  </si>
  <si>
    <t xml:space="preserve">Physical</t>
  </si>
  <si>
    <t xml:space="preserve">Risk assessment (R-26)</t>
  </si>
  <si>
    <t xml:space="preserve">R-26</t>
  </si>
  <si>
    <t xml:space="preserve">Physical security</t>
  </si>
  <si>
    <t xml:space="preserve">Austin site controls; London landlord-dependent</t>
  </si>
  <si>
    <t xml:space="preserve">A.7.2</t>
  </si>
  <si>
    <t xml:space="preserve">Physical entry</t>
  </si>
  <si>
    <t xml:space="preserve">Badge system Austin; landlord London</t>
  </si>
  <si>
    <t xml:space="preserve">A.7.3</t>
  </si>
  <si>
    <t xml:space="preserve">Securing offices, rooms and facilities</t>
  </si>
  <si>
    <t xml:space="preserve">Comms room access control</t>
  </si>
  <si>
    <t xml:space="preserve">A.7.4</t>
  </si>
  <si>
    <t xml:space="preserve">Physical security monitoring</t>
  </si>
  <si>
    <t xml:space="preserve">CCTV Austin; none London</t>
  </si>
  <si>
    <t xml:space="preserve">A.7.5</t>
  </si>
  <si>
    <t xml:space="preserve">Protecting against physical and environmental threats</t>
  </si>
  <si>
    <t xml:space="preserve">AWS inherited; office risk assessments</t>
  </si>
  <si>
    <t xml:space="preserve">A.7.6</t>
  </si>
  <si>
    <t xml:space="preserve">Working in secure areas</t>
  </si>
  <si>
    <t xml:space="preserve">Secure area procedures</t>
  </si>
  <si>
    <t xml:space="preserve">A.7.7</t>
  </si>
  <si>
    <t xml:space="preserve">Clear desk and clear screen</t>
  </si>
  <si>
    <t xml:space="preserve">POL-04 s6.4; screen lock via MDM</t>
  </si>
  <si>
    <t xml:space="preserve">A.7.8</t>
  </si>
  <si>
    <t xml:space="preserve">Equipment siting and protection</t>
  </si>
  <si>
    <t xml:space="preserve">Comms room siting</t>
  </si>
  <si>
    <t xml:space="preserve">A.7.9</t>
  </si>
  <si>
    <t xml:space="preserve">Security of assets off-premises</t>
  </si>
  <si>
    <t xml:space="preserve">Physical security / Asset mgmt</t>
  </si>
  <si>
    <t xml:space="preserve">POL-01 s3.4, MDM, encryption, remote wipe</t>
  </si>
  <si>
    <t xml:space="preserve">A.7.10</t>
  </si>
  <si>
    <t xml:space="preserve">Storage media</t>
  </si>
  <si>
    <t xml:space="preserve">PCI DSS Req. 9.4</t>
  </si>
  <si>
    <t xml:space="preserve">POL-01 s3.4, MDM media control</t>
  </si>
  <si>
    <t xml:space="preserve">A.7.11</t>
  </si>
  <si>
    <t xml:space="preserve">Supporting utilities</t>
  </si>
  <si>
    <t xml:space="preserve">Protect / Detect</t>
  </si>
  <si>
    <t xml:space="preserve">AWS inherited; Austin UPS</t>
  </si>
  <si>
    <t xml:space="preserve">A.7.12</t>
  </si>
  <si>
    <t xml:space="preserve">Cabling security</t>
  </si>
  <si>
    <t xml:space="preserve">C A</t>
  </si>
  <si>
    <t xml:space="preserve">Austin risers; London landlord</t>
  </si>
  <si>
    <t xml:space="preserve">A.7.13</t>
  </si>
  <si>
    <t xml:space="preserve">Equipment maintenance</t>
  </si>
  <si>
    <t xml:space="preserve">Vendor maintenance contracts</t>
  </si>
  <si>
    <t xml:space="preserve">A.7.14</t>
  </si>
  <si>
    <t xml:space="preserve">Secure disposal or re-use of equipment</t>
  </si>
  <si>
    <t xml:space="preserve">POL-04 s7, certified destruction</t>
  </si>
  <si>
    <t xml:space="preserve">A.8.1</t>
  </si>
  <si>
    <t xml:space="preserve">User endpoint devices</t>
  </si>
  <si>
    <t xml:space="preserve">Technological</t>
  </si>
  <si>
    <t xml:space="preserve">Jamf, Intune, CrowdStrike</t>
  </si>
  <si>
    <t xml:space="preserve">A.8.2</t>
  </si>
  <si>
    <t xml:space="preserve">Privileged access rights</t>
  </si>
  <si>
    <t xml:space="preserve">POL-03 s4.5, CyberArk</t>
  </si>
  <si>
    <t xml:space="preserve">A.8.3</t>
  </si>
  <si>
    <t xml:space="preserve">Information access restriction</t>
  </si>
  <si>
    <t xml:space="preserve">Okta groups, application entitlements</t>
  </si>
  <si>
    <t xml:space="preserve">A.8.4</t>
  </si>
  <si>
    <t xml:space="preserve">Access to source code</t>
  </si>
  <si>
    <t xml:space="preserve">Risk assessment (R-23)</t>
  </si>
  <si>
    <t xml:space="preserve">R-23</t>
  </si>
  <si>
    <t xml:space="preserve">IAM / Application security</t>
  </si>
  <si>
    <t xml:space="preserve">GitHub branch protection, CODEOWNERS</t>
  </si>
  <si>
    <t xml:space="preserve">A.8.5</t>
  </si>
  <si>
    <t xml:space="preserve">Secure authentication</t>
  </si>
  <si>
    <t xml:space="preserve">Risk assessment (R-11); Legal / regulatory</t>
  </si>
  <si>
    <t xml:space="preserve">PCI DSS Req. 8; NYDFS 500.12</t>
  </si>
  <si>
    <t xml:space="preserve">STD-02, Okta, FIDO2</t>
  </si>
  <si>
    <t xml:space="preserve">A.8.6</t>
  </si>
  <si>
    <t xml:space="preserve">Capacity management</t>
  </si>
  <si>
    <t xml:space="preserve">Identify / Protect / Detect</t>
  </si>
  <si>
    <t xml:space="preserve">CloudWatch autoscaling — no capacity plan</t>
  </si>
  <si>
    <t xml:space="preserve">A.8.7</t>
  </si>
  <si>
    <t xml:space="preserve">Protection against malware</t>
  </si>
  <si>
    <t xml:space="preserve">Preventive/Detective/Corrective</t>
  </si>
  <si>
    <t xml:space="preserve">System &amp; network security</t>
  </si>
  <si>
    <t xml:space="preserve">CrowdStrike Falcon</t>
  </si>
  <si>
    <t xml:space="preserve">A.8.8</t>
  </si>
  <si>
    <t xml:space="preserve">Management of technical vulnerabilities</t>
  </si>
  <si>
    <t xml:space="preserve">PCI DSS Req. 6, 11</t>
  </si>
  <si>
    <t xml:space="preserve">Wiz, SCA in CI, annual penetration test</t>
  </si>
  <si>
    <t xml:space="preserve">A.8.9</t>
  </si>
  <si>
    <t xml:space="preserve">Configuration management</t>
  </si>
  <si>
    <t xml:space="preserve">Risk assessment (R-13, R-37, R-52)</t>
  </si>
  <si>
    <t xml:space="preserve">R-13, R-37, R-52</t>
  </si>
  <si>
    <t xml:space="preserve">Secure configuration</t>
  </si>
  <si>
    <t xml:space="preserve">Terraform (80%), golden images, Wiz benchmarks</t>
  </si>
  <si>
    <t xml:space="preserve">A.8.10</t>
  </si>
  <si>
    <t xml:space="preserve">Information deletion</t>
  </si>
  <si>
    <t xml:space="preserve">UK GDPR Art. 17</t>
  </si>
  <si>
    <t xml:space="preserve">POL-04 s7 — not automated</t>
  </si>
  <si>
    <t xml:space="preserve">A.8.11</t>
  </si>
  <si>
    <t xml:space="preserve">Data masking</t>
  </si>
  <si>
    <t xml:space="preserve">Risk assessment (R-16); Legal / regulatory</t>
  </si>
  <si>
    <t xml:space="preserve">R-16</t>
  </si>
  <si>
    <t xml:space="preserve">PCI DSS Req. 3.4</t>
  </si>
  <si>
    <t xml:space="preserve">Masking pipeline — not enforced</t>
  </si>
  <si>
    <t xml:space="preserve">A.8.12</t>
  </si>
  <si>
    <t xml:space="preserve">Data leakage prevention</t>
  </si>
  <si>
    <t xml:space="preserve">Risk assessment (R-04, R-10, R-30, R-54)</t>
  </si>
  <si>
    <t xml:space="preserve">R-04, R-10, R-30, R-54</t>
  </si>
  <si>
    <t xml:space="preserve">Google Workspace DLP — partial coverage</t>
  </si>
  <si>
    <t xml:space="preserve">A.8.13</t>
  </si>
  <si>
    <t xml:space="preserve">Information backup</t>
  </si>
  <si>
    <t xml:space="preserve">Risk assessment (R-15, R-53)</t>
  </si>
  <si>
    <t xml:space="preserve">R-15, R-53</t>
  </si>
  <si>
    <t xml:space="preserve">I A</t>
  </si>
  <si>
    <t xml:space="preserve">Recover</t>
  </si>
  <si>
    <t xml:space="preserve">Automated backup, cross-region replication</t>
  </si>
  <si>
    <t xml:space="preserve">A.8.14</t>
  </si>
  <si>
    <t xml:space="preserve">Redundancy of information processing facilities</t>
  </si>
  <si>
    <t xml:space="preserve">Continuity / Asset mgmt</t>
  </si>
  <si>
    <t xml:space="preserve">Multi-AZ, cross-region DR — untested</t>
  </si>
  <si>
    <t xml:space="preserve">A.8.15</t>
  </si>
  <si>
    <t xml:space="preserve">Logging</t>
  </si>
  <si>
    <t xml:space="preserve">Risk assessment (R-06); Legal / regulatory; Contractual</t>
  </si>
  <si>
    <t xml:space="preserve">R-06</t>
  </si>
  <si>
    <t xml:space="preserve">PCI DSS Req. 10; NYDFS 500.06</t>
  </si>
  <si>
    <t xml:space="preserve">Information security event mgmt</t>
  </si>
  <si>
    <t xml:space="preserve">Splunk — 15% Credit estate gap</t>
  </si>
  <si>
    <t xml:space="preserve">A.8.16</t>
  </si>
  <si>
    <t xml:space="preserve">Monitoring activities</t>
  </si>
  <si>
    <t xml:space="preserve">Risk assessment (R-06, R-21, R-29)</t>
  </si>
  <si>
    <t xml:space="preserve">R-06, R-21, R-29</t>
  </si>
  <si>
    <t xml:space="preserve">Splunk detection content, 24/7 SOC</t>
  </si>
  <si>
    <t xml:space="preserve">A.8.17</t>
  </si>
  <si>
    <t xml:space="preserve">Clock synchronisation</t>
  </si>
  <si>
    <t xml:space="preserve">I</t>
  </si>
  <si>
    <t xml:space="preserve">Amazon Time Sync Service</t>
  </si>
  <si>
    <t xml:space="preserve">A.8.18</t>
  </si>
  <si>
    <t xml:space="preserve">Use of privileged utility programs</t>
  </si>
  <si>
    <t xml:space="preserve">System &amp; network security / Application security</t>
  </si>
  <si>
    <t xml:space="preserve">CyberArk, PAW, application control</t>
  </si>
  <si>
    <t xml:space="preserve">A.8.19</t>
  </si>
  <si>
    <t xml:space="preserve">Installation of software on operational systems</t>
  </si>
  <si>
    <t xml:space="preserve">Risk assessment (R-13)</t>
  </si>
  <si>
    <t xml:space="preserve">R-13</t>
  </si>
  <si>
    <t xml:space="preserve">Secure configuration / Application security</t>
  </si>
  <si>
    <t xml:space="preserve">Immutable infrastructure (80%)</t>
  </si>
  <si>
    <t xml:space="preserve">A.8.20</t>
  </si>
  <si>
    <t xml:space="preserve">Networks security</t>
  </si>
  <si>
    <t xml:space="preserve">Risk assessment (R-20)</t>
  </si>
  <si>
    <t xml:space="preserve">R-20</t>
  </si>
  <si>
    <t xml:space="preserve">Security groups, NACLs, WAF</t>
  </si>
  <si>
    <t xml:space="preserve">A.8.21</t>
  </si>
  <si>
    <t xml:space="preserve">Security of network services</t>
  </si>
  <si>
    <t xml:space="preserve">AWS shared responsibility, zero trust access</t>
  </si>
  <si>
    <t xml:space="preserve">A.8.22</t>
  </si>
  <si>
    <t xml:space="preserve">Segregation of networks</t>
  </si>
  <si>
    <t xml:space="preserve">Risk assessment (R-03); Legal / regulatory</t>
  </si>
  <si>
    <t xml:space="preserve">R-03</t>
  </si>
  <si>
    <t xml:space="preserve">PCI DSS Req. 1</t>
  </si>
  <si>
    <t xml:space="preserve">Account and VPC segregation; QSA validated</t>
  </si>
  <si>
    <t xml:space="preserve">A.8.23</t>
  </si>
  <si>
    <t xml:space="preserve">Web filtering</t>
  </si>
  <si>
    <t xml:space="preserve">Risk assessment (R-04, R-54)</t>
  </si>
  <si>
    <t xml:space="preserve">R-04, R-54</t>
  </si>
  <si>
    <t xml:space="preserve">Secure web gateway</t>
  </si>
  <si>
    <t xml:space="preserve">A.8.24</t>
  </si>
  <si>
    <t xml:space="preserve">Use of cryptography</t>
  </si>
  <si>
    <t xml:space="preserve">Risk assessment (R-03, R-14, R-48); Legal / regulatory; Contractual</t>
  </si>
  <si>
    <t xml:space="preserve">R-03, R-14, R-48</t>
  </si>
  <si>
    <t xml:space="preserve">PCI DSS Req. 3, 4; NYDFS 500.15</t>
  </si>
  <si>
    <t xml:space="preserve">C I</t>
  </si>
  <si>
    <t xml:space="preserve">POL-07, STD-09, KMS, Vault</t>
  </si>
  <si>
    <t xml:space="preserve">A.8.25</t>
  </si>
  <si>
    <t xml:space="preserve">Secure development life cycle</t>
  </si>
  <si>
    <t xml:space="preserve">Risk assessment (R-17)</t>
  </si>
  <si>
    <t xml:space="preserve">R-17</t>
  </si>
  <si>
    <t xml:space="preserve">Application security / System &amp; network security</t>
  </si>
  <si>
    <t xml:space="preserve">POL-06 — no threat modelling</t>
  </si>
  <si>
    <t xml:space="preserve">A.8.26</t>
  </si>
  <si>
    <t xml:space="preserve">Application security requirements</t>
  </si>
  <si>
    <t xml:space="preserve">Risk assessment (R-22)</t>
  </si>
  <si>
    <t xml:space="preserve">R-22</t>
  </si>
  <si>
    <t xml:space="preserve">Application security</t>
  </si>
  <si>
    <t xml:space="preserve">Platform defaults, shared libraries</t>
  </si>
  <si>
    <t xml:space="preserve">A.8.27</t>
  </si>
  <si>
    <t xml:space="preserve">Secure system architecture and engineering principles</t>
  </si>
  <si>
    <t xml:space="preserve">Architecture review — principles undocumented</t>
  </si>
  <si>
    <t xml:space="preserve">A.8.28</t>
  </si>
  <si>
    <t xml:space="preserve">Secure coding</t>
  </si>
  <si>
    <t xml:space="preserve">Risk assessment (R-24)</t>
  </si>
  <si>
    <t xml:space="preserve">R-24</t>
  </si>
  <si>
    <t xml:space="preserve">Secure coding standard, SAST</t>
  </si>
  <si>
    <t xml:space="preserve">A.8.29</t>
  </si>
  <si>
    <t xml:space="preserve">Security testing in development and acceptance</t>
  </si>
  <si>
    <t xml:space="preserve">SAST/DAST/SCA, penetration test</t>
  </si>
  <si>
    <t xml:space="preserve">A.8.30</t>
  </si>
  <si>
    <t xml:space="preserve">Outsourced development</t>
  </si>
  <si>
    <t xml:space="preserve">No</t>
  </si>
  <si>
    <t xml:space="preserve">EXCLUDED. All development is performed in-house by employed engineers and by contractors working within Aldridge teams under Aldridge management and the standard SDLC. No development is outsourced. Reviewed at each SoA revision; reversed immediately on any decision to outsource.</t>
  </si>
  <si>
    <t xml:space="preserve">Application security / Supplier relationships</t>
  </si>
  <si>
    <t xml:space="preserve">Not applicable</t>
  </si>
  <si>
    <t xml:space="preserve">n/a — excluded</t>
  </si>
  <si>
    <t xml:space="preserve">A.8.31</t>
  </si>
  <si>
    <t xml:space="preserve">Separation of development, test and production environments</t>
  </si>
  <si>
    <t xml:space="preserve">Risk assessment (R-25, R-37)</t>
  </si>
  <si>
    <t xml:space="preserve">R-25, R-37</t>
  </si>
  <si>
    <t xml:space="preserve">Separate AWS accounts per environment</t>
  </si>
  <si>
    <t xml:space="preserve">A.8.32</t>
  </si>
  <si>
    <t xml:space="preserve">Change management</t>
  </si>
  <si>
    <t xml:space="preserve">Risk assessment (R-13, R-25)</t>
  </si>
  <si>
    <t xml:space="preserve">R-13, R-25</t>
  </si>
  <si>
    <t xml:space="preserve">Application security / Secure configuration</t>
  </si>
  <si>
    <t xml:space="preserve">CAB, CI/CD change records</t>
  </si>
  <si>
    <t xml:space="preserve">A.8.33</t>
  </si>
  <si>
    <t xml:space="preserve">Test information</t>
  </si>
  <si>
    <t xml:space="preserve">Risk assessment (R-16)</t>
  </si>
  <si>
    <t xml:space="preserve">POL-04 s6.3 — exceptions in force</t>
  </si>
  <si>
    <t xml:space="preserve">A.8.34</t>
  </si>
  <si>
    <t xml:space="preserve">Protection of information systems during audit testing</t>
  </si>
  <si>
    <t xml:space="preserve">None — ad hoc coordination</t>
  </si>
  <si>
    <t xml:space="preserve">Statement of Applicability — Summary</t>
  </si>
  <si>
    <t xml:space="preserve">APPLICABILITY</t>
  </si>
  <si>
    <t xml:space="preserve">Controls in Annex A</t>
  </si>
  <si>
    <t xml:space="preserve">Excluded</t>
  </si>
  <si>
    <t xml:space="preserve">Controls with a linked risk</t>
  </si>
  <si>
    <t xml:space="preserve">Controls with a legal or regulatory driver</t>
  </si>
  <si>
    <t xml:space="preserve">CONTROL TYPE DISTRIBUTION</t>
  </si>
  <si>
    <t xml:space="preserve">Includes preventive</t>
  </si>
  <si>
    <t xml:space="preserve">Includes detective</t>
  </si>
  <si>
    <t xml:space="preserve">Includes corrective</t>
  </si>
  <si>
    <t xml:space="preserve">The control type distribution is a useful sanity check. A control set heavily weighted to preventive controls with few detective controls indicates an organisation that expects to stop attacks rather than to notice them. Aldridge's distribution is reasonable, but note that a disproportionate share of its detective controls (A.8.15, A.8.16, A.5.7) are among the partially or not implemented set.</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</si>
</sst>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44546A"/>
      <name val="Arial"/>
      <family val="0"/>
      <charset val="1"/>
    </font>
    <font>
      <sz val="10"/>
      <color rgb="FF000000"/>
      <name val="Arial"/>
      <family val="0"/>
      <charset val="1"/>
    </font>
    <font>
      <sz val="10"/>
      <name val="Arial"/>
      <family val="0"/>
      <charset val="1"/>
    </font>
    <font>
      <b val="true"/>
      <sz val="10"/>
      <color rgb="FF1F3864"/>
      <name val="Arial"/>
      <family val="0"/>
      <charset val="1"/>
    </font>
    <font>
      <b val="true"/>
      <sz val="11"/>
      <color rgb="FF1F3864"/>
      <name val="Arial"/>
      <family val="0"/>
      <charset val="1"/>
    </font>
    <font>
      <b val="true"/>
      <sz val="9"/>
      <color rgb="FFFFFFFF"/>
      <name val="Arial"/>
      <family val="0"/>
      <charset val="1"/>
    </font>
    <font>
      <b val="true"/>
      <sz val="9"/>
      <name val="Arial"/>
      <family val="0"/>
      <charset val="1"/>
    </font>
    <font>
      <sz val="9"/>
      <name val="Arial"/>
      <family val="0"/>
      <charset val="1"/>
    </font>
    <font>
      <b val="true"/>
      <i val="true"/>
      <sz val="9"/>
      <color rgb="FFC00000"/>
      <name val="Arial"/>
      <family val="0"/>
      <charset val="1"/>
    </font>
    <font>
      <b val="true"/>
      <sz val="15"/>
      <color rgb="FF1F3864"/>
      <name val="Arial"/>
      <family val="0"/>
      <charset val="1"/>
    </font>
  </fonts>
  <fills count="10">
    <fill>
      <patternFill patternType="none"/>
    </fill>
    <fill>
      <patternFill patternType="gray125"/>
    </fill>
    <fill>
      <patternFill patternType="solid">
        <fgColor rgb="FFD6DCE8"/>
        <bgColor rgb="FFD9EAD3"/>
      </patternFill>
    </fill>
    <fill>
      <patternFill patternType="solid">
        <fgColor rgb="FF1F3864"/>
        <bgColor rgb="FF333333"/>
      </patternFill>
    </fill>
    <fill>
      <patternFill patternType="solid">
        <fgColor rgb="FFFFF2CC"/>
        <bgColor rgb="FFFCEBA4"/>
      </patternFill>
    </fill>
    <fill>
      <patternFill patternType="solid">
        <fgColor rgb="FFFCEBA4"/>
        <bgColor rgb="FFFFF2CC"/>
      </patternFill>
    </fill>
    <fill>
      <patternFill patternType="solid">
        <fgColor rgb="FFF2F4F8"/>
        <bgColor rgb="FFFFFFFF"/>
      </patternFill>
    </fill>
    <fill>
      <patternFill patternType="solid">
        <fgColor rgb="FFD9EAD3"/>
        <bgColor rgb="FFE8E8E8"/>
      </patternFill>
    </fill>
    <fill>
      <patternFill patternType="solid">
        <fgColor rgb="FFF4B7B7"/>
        <bgColor rgb="FFFF99CC"/>
      </patternFill>
    </fill>
    <fill>
      <patternFill patternType="solid">
        <fgColor rgb="FFE8E8E8"/>
        <bgColor rgb="FFD9EA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4F8"/>
          <bgColor rgb="FF000000"/>
        </patternFill>
      </fill>
    </dxf>
    <dxf>
      <fill>
        <patternFill patternType="solid">
          <bgColor rgb="FF000000"/>
        </patternFill>
      </fill>
    </dxf>
    <dxf>
      <fill>
        <patternFill patternType="solid">
          <fgColor rgb="FFFFFFFF"/>
          <bgColor rgb="FF000000"/>
        </patternFill>
      </fill>
    </dxf>
    <dxf>
      <fill>
        <patternFill patternType="solid">
          <fgColor rgb="FFE8E8E8"/>
          <bgColor rgb="FF000000"/>
        </patternFill>
      </fill>
    </dxf>
    <dxf>
      <fill>
        <patternFill patternType="solid">
          <fgColor rgb="FFD9EAD3"/>
          <bgColor rgb="FF000000"/>
        </patternFill>
      </fill>
    </dxf>
    <dxf>
      <fill>
        <patternFill patternType="solid">
          <fgColor rgb="FFF4B7B7"/>
          <bgColor rgb="FF000000"/>
        </patternFill>
      </fill>
    </dxf>
    <dxf>
      <fill>
        <patternFill patternType="solid">
          <fgColor rgb="FFFCEBA4"/>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4F8"/>
      <rgbColor rgb="FF660066"/>
      <rgbColor rgb="FFFF8080"/>
      <rgbColor rgb="FF0066CC"/>
      <rgbColor rgb="FFD6DCE8"/>
      <rgbColor rgb="FF000080"/>
      <rgbColor rgb="FFFF00FF"/>
      <rgbColor rgb="FFFFFF00"/>
      <rgbColor rgb="FF00FFFF"/>
      <rgbColor rgb="FF800080"/>
      <rgbColor rgb="FF800000"/>
      <rgbColor rgb="FF008080"/>
      <rgbColor rgb="FF0000FF"/>
      <rgbColor rgb="FF00CCFF"/>
      <rgbColor rgb="FFE8E8E8"/>
      <rgbColor rgb="FFD9EAD3"/>
      <rgbColor rgb="FFFCEBA4"/>
      <rgbColor rgb="FF99CCFF"/>
      <rgbColor rgb="FFFF99CC"/>
      <rgbColor rgb="FFCC99FF"/>
      <rgbColor rgb="FFF4B7B7"/>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6" min="3" style="0" width="26"/>
  </cols>
  <sheetData>
    <row r="1" customFormat="false" ht="24"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c r="B4" s="4"/>
    </row>
    <row r="5" customFormat="false" ht="15" hidden="false" customHeight="false" outlineLevel="0" collapsed="false">
      <c r="A5" s="5" t="s">
        <v>2</v>
      </c>
      <c r="B5" s="5"/>
      <c r="C5" s="5"/>
      <c r="D5" s="5"/>
      <c r="E5" s="5"/>
      <c r="F5" s="5"/>
    </row>
    <row r="6" customFormat="false" ht="79.85" hidden="false" customHeight="false" outlineLevel="0" collapsed="false">
      <c r="A6" s="3"/>
      <c r="B6" s="4" t="s">
        <v>3</v>
      </c>
    </row>
    <row r="7" customFormat="false" ht="35.05" hidden="false" customHeight="false" outlineLevel="0" collapsed="false">
      <c r="A7" s="3"/>
      <c r="B7" s="4" t="s">
        <v>4</v>
      </c>
    </row>
    <row r="8" customFormat="false" ht="15" hidden="false" customHeight="false" outlineLevel="0" collapsed="false">
      <c r="A8" s="3"/>
      <c r="B8" s="4"/>
    </row>
    <row r="9" customFormat="false" ht="15" hidden="false" customHeight="false" outlineLevel="0" collapsed="false">
      <c r="A9" s="5" t="s">
        <v>5</v>
      </c>
      <c r="B9" s="5"/>
      <c r="C9" s="5"/>
      <c r="D9" s="5"/>
      <c r="E9" s="5"/>
      <c r="F9" s="5"/>
    </row>
    <row r="10" customFormat="false" ht="79.85" hidden="false" customHeight="false" outlineLevel="0" collapsed="false">
      <c r="A10" s="3"/>
      <c r="B10" s="4" t="s">
        <v>6</v>
      </c>
    </row>
    <row r="11" customFormat="false" ht="68.65" hidden="false" customHeight="false" outlineLevel="0" collapsed="false">
      <c r="A11" s="3"/>
      <c r="B11" s="4" t="s">
        <v>7</v>
      </c>
    </row>
    <row r="12" customFormat="false" ht="15" hidden="false" customHeight="false" outlineLevel="0" collapsed="false">
      <c r="A12" s="3"/>
      <c r="B12" s="4"/>
    </row>
    <row r="13" customFormat="false" ht="15" hidden="false" customHeight="false" outlineLevel="0" collapsed="false">
      <c r="A13" s="5" t="s">
        <v>8</v>
      </c>
      <c r="B13" s="5"/>
      <c r="C13" s="5"/>
      <c r="D13" s="5"/>
      <c r="E13" s="5"/>
      <c r="F13" s="5"/>
    </row>
    <row r="14" customFormat="false" ht="23.85" hidden="false" customHeight="false" outlineLevel="0" collapsed="false">
      <c r="A14" s="3" t="s">
        <v>9</v>
      </c>
      <c r="B14" s="4" t="s">
        <v>10</v>
      </c>
    </row>
    <row r="15" customFormat="false" ht="23.85" hidden="false" customHeight="false" outlineLevel="0" collapsed="false">
      <c r="A15" s="3" t="s">
        <v>11</v>
      </c>
      <c r="B15" s="4" t="s">
        <v>12</v>
      </c>
    </row>
    <row r="16" customFormat="false" ht="23.85" hidden="false" customHeight="false" outlineLevel="0" collapsed="false">
      <c r="A16" s="3" t="s">
        <v>13</v>
      </c>
      <c r="B16" s="4" t="s">
        <v>14</v>
      </c>
    </row>
    <row r="17" customFormat="false" ht="35.05" hidden="false" customHeight="false" outlineLevel="0" collapsed="false">
      <c r="A17" s="3" t="s">
        <v>15</v>
      </c>
      <c r="B17" s="4" t="s">
        <v>16</v>
      </c>
    </row>
    <row r="18" customFormat="false" ht="15" hidden="false" customHeight="false" outlineLevel="0" collapsed="false">
      <c r="A18" s="3"/>
      <c r="B18" s="4"/>
    </row>
    <row r="19" customFormat="false" ht="15" hidden="false" customHeight="false" outlineLevel="0" collapsed="false">
      <c r="A19" s="5" t="s">
        <v>17</v>
      </c>
      <c r="B19" s="5"/>
      <c r="C19" s="5"/>
      <c r="D19" s="5"/>
      <c r="E19" s="5"/>
      <c r="F19" s="5"/>
    </row>
    <row r="20" customFormat="false" ht="113.4" hidden="false" customHeight="false" outlineLevel="0" collapsed="false">
      <c r="A20" s="3"/>
      <c r="B20" s="4" t="s">
        <v>18</v>
      </c>
    </row>
    <row r="21" customFormat="false" ht="15" hidden="false" customHeight="false" outlineLevel="0" collapsed="false">
      <c r="A21" s="3"/>
      <c r="B21" s="4"/>
    </row>
    <row r="22" customFormat="false" ht="15" hidden="false" customHeight="false" outlineLevel="0" collapsed="false">
      <c r="A22" s="5" t="s">
        <v>19</v>
      </c>
      <c r="B22" s="5"/>
      <c r="C22" s="5"/>
      <c r="D22" s="5"/>
      <c r="E22" s="5"/>
      <c r="F22" s="5"/>
    </row>
    <row r="23" customFormat="false" ht="102.2" hidden="false" customHeight="false" outlineLevel="0" collapsed="false">
      <c r="A23" s="3"/>
      <c r="B23" s="4" t="s">
        <v>20</v>
      </c>
    </row>
    <row r="24" customFormat="false" ht="15" hidden="false" customHeight="false" outlineLevel="0" collapsed="false">
      <c r="A24" s="3"/>
      <c r="B24" s="4"/>
    </row>
    <row r="25" customFormat="false" ht="15" hidden="false" customHeight="false" outlineLevel="0" collapsed="false">
      <c r="A25" s="5" t="s">
        <v>21</v>
      </c>
      <c r="B25" s="5"/>
      <c r="C25" s="5"/>
      <c r="D25" s="5"/>
      <c r="E25" s="5"/>
      <c r="F25" s="5"/>
    </row>
    <row r="26" customFormat="false" ht="46.25" hidden="false" customHeight="false" outlineLevel="0" collapsed="false">
      <c r="A26" s="3"/>
      <c r="B26" s="4" t="s">
        <v>22</v>
      </c>
    </row>
    <row r="28" customFormat="false" ht="15" hidden="false" customHeight="false" outlineLevel="0" collapsed="false">
      <c r="A28" s="6" t="s">
        <v>23</v>
      </c>
      <c r="B28" s="6"/>
      <c r="C28" s="6"/>
      <c r="D28" s="6"/>
      <c r="E28" s="6"/>
      <c r="F28" s="6"/>
    </row>
    <row r="29" customFormat="false" ht="21.75" hidden="false" customHeight="true" outlineLevel="0" collapsed="false">
      <c r="A29" s="7" t="s">
        <v>24</v>
      </c>
      <c r="B29" s="7" t="s">
        <v>25</v>
      </c>
      <c r="C29" s="7" t="s">
        <v>26</v>
      </c>
      <c r="D29" s="7" t="s">
        <v>27</v>
      </c>
      <c r="E29" s="7" t="s">
        <v>28</v>
      </c>
    </row>
    <row r="30" customFormat="false" ht="31.5" hidden="false" customHeight="true" outlineLevel="0" collapsed="false">
      <c r="A30" s="8" t="s">
        <v>29</v>
      </c>
      <c r="B30" s="9" t="s">
        <v>30</v>
      </c>
      <c r="C30" s="9" t="s">
        <v>31</v>
      </c>
      <c r="D30" s="10"/>
      <c r="E30" s="10"/>
    </row>
    <row r="31" customFormat="false" ht="31.5" hidden="false" customHeight="true" outlineLevel="0" collapsed="false">
      <c r="A31" s="8" t="s">
        <v>32</v>
      </c>
      <c r="B31" s="9" t="s">
        <v>33</v>
      </c>
      <c r="C31" s="9" t="s">
        <v>34</v>
      </c>
      <c r="D31" s="10"/>
      <c r="E31" s="10"/>
    </row>
    <row r="32" customFormat="false" ht="31.5" hidden="false" customHeight="true" outlineLevel="0" collapsed="false">
      <c r="A32" s="8" t="s">
        <v>35</v>
      </c>
      <c r="B32" s="9" t="s">
        <v>36</v>
      </c>
      <c r="C32" s="9" t="s">
        <v>37</v>
      </c>
      <c r="D32" s="10"/>
      <c r="E32" s="10"/>
    </row>
    <row r="33" customFormat="false" ht="31.5" hidden="false" customHeight="true" outlineLevel="0" collapsed="false">
      <c r="A33" s="8" t="s">
        <v>38</v>
      </c>
      <c r="B33" s="9" t="s">
        <v>39</v>
      </c>
      <c r="C33" s="9" t="s">
        <v>40</v>
      </c>
      <c r="D33" s="10"/>
      <c r="E33" s="10"/>
    </row>
    <row r="35" customFormat="false" ht="15" hidden="false" customHeight="true" outlineLevel="0" collapsed="false">
      <c r="A35" s="11" t="s">
        <v>41</v>
      </c>
      <c r="B35" s="11"/>
      <c r="C35" s="11"/>
      <c r="D35" s="11"/>
      <c r="E35" s="11"/>
      <c r="F35" s="11"/>
    </row>
    <row r="36" customFormat="false" ht="15" hidden="false" customHeight="false" outlineLevel="0" collapsed="false">
      <c r="A36" s="11"/>
      <c r="B36" s="11"/>
      <c r="C36" s="11"/>
      <c r="D36" s="11"/>
      <c r="E36" s="11"/>
      <c r="F36" s="11"/>
    </row>
    <row r="37" customFormat="false" ht="15" hidden="false" customHeight="false" outlineLevel="0" collapsed="false">
      <c r="A37" s="11"/>
      <c r="B37" s="11"/>
      <c r="C37" s="11"/>
      <c r="D37" s="11"/>
      <c r="E37" s="11"/>
      <c r="F37" s="11"/>
    </row>
  </sheetData>
  <mergeCells count="10">
    <mergeCell ref="A1:F1"/>
    <mergeCell ref="A2:F2"/>
    <mergeCell ref="A5:F5"/>
    <mergeCell ref="A9:F9"/>
    <mergeCell ref="A13:F13"/>
    <mergeCell ref="A19:F19"/>
    <mergeCell ref="A22:F22"/>
    <mergeCell ref="A25:F25"/>
    <mergeCell ref="A28:F28"/>
    <mergeCell ref="A35: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3"/>
    <col collapsed="false" customWidth="true" hidden="false" outlineLevel="0" max="4" min="4" style="0" width="11"/>
    <col collapsed="false" customWidth="true" hidden="false" outlineLevel="0" max="5" min="5" style="0" width="62"/>
    <col collapsed="false" customWidth="true" hidden="false" outlineLevel="0" max="6" min="6" style="0" width="22"/>
    <col collapsed="false" customWidth="true" hidden="false" outlineLevel="0" max="7" min="7" style="0" width="26"/>
    <col collapsed="false" customWidth="true" hidden="false" outlineLevel="0" max="8" min="8" style="0" width="13"/>
    <col collapsed="false" customWidth="true" hidden="false" outlineLevel="0" max="9" min="9" style="0" width="11"/>
    <col collapsed="false" customWidth="true" hidden="false" outlineLevel="0" max="10" min="10" style="0" width="20"/>
    <col collapsed="false" customWidth="true" hidden="false" outlineLevel="0" max="11" min="11" style="0" width="26"/>
    <col collapsed="false" customWidth="true" hidden="false" outlineLevel="0" max="12" min="12" style="0" width="17"/>
    <col collapsed="false" customWidth="true" hidden="false" outlineLevel="0" max="13" min="13" style="0" width="40"/>
  </cols>
  <sheetData>
    <row r="1" customFormat="false" ht="21.75" hidden="false" customHeight="true" outlineLevel="0" collapsed="false">
      <c r="A1" s="12" t="s">
        <v>42</v>
      </c>
      <c r="B1" s="12"/>
      <c r="C1" s="12"/>
      <c r="D1" s="12"/>
      <c r="E1" s="12"/>
      <c r="F1" s="12"/>
      <c r="G1" s="12"/>
      <c r="H1" s="12"/>
      <c r="I1" s="12"/>
      <c r="J1" s="12"/>
      <c r="K1" s="12"/>
      <c r="L1" s="12"/>
      <c r="M1" s="12"/>
    </row>
    <row r="2" customFormat="false" ht="15" hidden="false" customHeight="false" outlineLevel="0" collapsed="false">
      <c r="A2" s="2" t="s">
        <v>43</v>
      </c>
      <c r="B2" s="2"/>
      <c r="C2" s="2"/>
      <c r="D2" s="2"/>
      <c r="E2" s="2"/>
      <c r="F2" s="2"/>
      <c r="G2" s="2"/>
      <c r="H2" s="2"/>
      <c r="I2" s="2"/>
      <c r="J2" s="2"/>
      <c r="K2" s="2"/>
      <c r="L2" s="2"/>
      <c r="M2" s="2"/>
    </row>
    <row r="3" customFormat="false" ht="43.5" hidden="false" customHeight="true" outlineLevel="0" collapsed="false">
      <c r="A3" s="7" t="s">
        <v>44</v>
      </c>
      <c r="B3" s="7" t="s">
        <v>45</v>
      </c>
      <c r="C3" s="7" t="s">
        <v>46</v>
      </c>
      <c r="D3" s="7" t="s">
        <v>47</v>
      </c>
      <c r="E3" s="7" t="s">
        <v>48</v>
      </c>
      <c r="F3" s="7" t="s">
        <v>49</v>
      </c>
      <c r="G3" s="7" t="s">
        <v>50</v>
      </c>
      <c r="H3" s="7" t="s">
        <v>51</v>
      </c>
      <c r="I3" s="7" t="s">
        <v>52</v>
      </c>
      <c r="J3" s="7" t="s">
        <v>53</v>
      </c>
      <c r="K3" s="7" t="s">
        <v>54</v>
      </c>
      <c r="L3" s="7" t="s">
        <v>55</v>
      </c>
      <c r="M3" s="7" t="s">
        <v>56</v>
      </c>
    </row>
    <row r="4" customFormat="false" ht="15" hidden="false" customHeight="false" outlineLevel="0" collapsed="false">
      <c r="A4" s="13" t="s">
        <v>57</v>
      </c>
      <c r="B4" s="14" t="s">
        <v>58</v>
      </c>
      <c r="C4" s="14" t="s">
        <v>59</v>
      </c>
      <c r="D4" s="15" t="s">
        <v>60</v>
      </c>
      <c r="E4" s="14" t="s">
        <v>61</v>
      </c>
      <c r="F4" s="14" t="s">
        <v>62</v>
      </c>
      <c r="G4" s="14" t="s">
        <v>62</v>
      </c>
      <c r="H4" s="15" t="s">
        <v>63</v>
      </c>
      <c r="I4" s="15" t="s">
        <v>64</v>
      </c>
      <c r="J4" s="14" t="s">
        <v>65</v>
      </c>
      <c r="K4" s="14" t="s">
        <v>66</v>
      </c>
      <c r="L4" s="16" t="s">
        <v>67</v>
      </c>
      <c r="M4" s="14" t="s">
        <v>68</v>
      </c>
    </row>
    <row r="5" customFormat="false" ht="15" hidden="false" customHeight="false" outlineLevel="0" collapsed="false">
      <c r="A5" s="17" t="s">
        <v>69</v>
      </c>
      <c r="B5" s="18" t="s">
        <v>70</v>
      </c>
      <c r="C5" s="18" t="s">
        <v>59</v>
      </c>
      <c r="D5" s="15" t="s">
        <v>60</v>
      </c>
      <c r="E5" s="18" t="s">
        <v>61</v>
      </c>
      <c r="F5" s="18" t="s">
        <v>62</v>
      </c>
      <c r="G5" s="18" t="s">
        <v>62</v>
      </c>
      <c r="H5" s="19" t="s">
        <v>63</v>
      </c>
      <c r="I5" s="19" t="s">
        <v>64</v>
      </c>
      <c r="J5" s="18" t="s">
        <v>65</v>
      </c>
      <c r="K5" s="18" t="s">
        <v>66</v>
      </c>
      <c r="L5" s="16" t="s">
        <v>67</v>
      </c>
      <c r="M5" s="18" t="s">
        <v>71</v>
      </c>
    </row>
    <row r="6" customFormat="false" ht="15" hidden="false" customHeight="false" outlineLevel="0" collapsed="false">
      <c r="A6" s="13" t="s">
        <v>72</v>
      </c>
      <c r="B6" s="14" t="s">
        <v>73</v>
      </c>
      <c r="C6" s="14" t="s">
        <v>59</v>
      </c>
      <c r="D6" s="15" t="s">
        <v>60</v>
      </c>
      <c r="E6" s="14" t="s">
        <v>61</v>
      </c>
      <c r="F6" s="14" t="s">
        <v>62</v>
      </c>
      <c r="G6" s="14" t="s">
        <v>62</v>
      </c>
      <c r="H6" s="15" t="s">
        <v>63</v>
      </c>
      <c r="I6" s="15" t="s">
        <v>64</v>
      </c>
      <c r="J6" s="14" t="s">
        <v>74</v>
      </c>
      <c r="K6" s="14" t="s">
        <v>75</v>
      </c>
      <c r="L6" s="16" t="s">
        <v>67</v>
      </c>
      <c r="M6" s="14" t="s">
        <v>76</v>
      </c>
    </row>
    <row r="7" customFormat="false" ht="15" hidden="false" customHeight="false" outlineLevel="0" collapsed="false">
      <c r="A7" s="17" t="s">
        <v>77</v>
      </c>
      <c r="B7" s="18" t="s">
        <v>78</v>
      </c>
      <c r="C7" s="18" t="s">
        <v>59</v>
      </c>
      <c r="D7" s="15" t="s">
        <v>60</v>
      </c>
      <c r="E7" s="18" t="s">
        <v>61</v>
      </c>
      <c r="F7" s="18" t="s">
        <v>62</v>
      </c>
      <c r="G7" s="18" t="s">
        <v>62</v>
      </c>
      <c r="H7" s="19" t="s">
        <v>63</v>
      </c>
      <c r="I7" s="19" t="s">
        <v>64</v>
      </c>
      <c r="J7" s="18" t="s">
        <v>65</v>
      </c>
      <c r="K7" s="18" t="s">
        <v>66</v>
      </c>
      <c r="L7" s="16" t="s">
        <v>67</v>
      </c>
      <c r="M7" s="18" t="s">
        <v>79</v>
      </c>
    </row>
    <row r="8" customFormat="false" ht="22.35" hidden="false" customHeight="false" outlineLevel="0" collapsed="false">
      <c r="A8" s="13" t="s">
        <v>80</v>
      </c>
      <c r="B8" s="14" t="s">
        <v>81</v>
      </c>
      <c r="C8" s="14" t="s">
        <v>59</v>
      </c>
      <c r="D8" s="15" t="s">
        <v>60</v>
      </c>
      <c r="E8" s="14" t="s">
        <v>11</v>
      </c>
      <c r="F8" s="14" t="s">
        <v>62</v>
      </c>
      <c r="G8" s="14" t="s">
        <v>82</v>
      </c>
      <c r="H8" s="15" t="s">
        <v>83</v>
      </c>
      <c r="I8" s="15" t="s">
        <v>64</v>
      </c>
      <c r="J8" s="14" t="s">
        <v>84</v>
      </c>
      <c r="K8" s="14" t="s">
        <v>66</v>
      </c>
      <c r="L8" s="20" t="s">
        <v>85</v>
      </c>
      <c r="M8" s="14" t="s">
        <v>86</v>
      </c>
    </row>
    <row r="9" customFormat="false" ht="22.35" hidden="false" customHeight="false" outlineLevel="0" collapsed="false">
      <c r="A9" s="17" t="s">
        <v>87</v>
      </c>
      <c r="B9" s="18" t="s">
        <v>88</v>
      </c>
      <c r="C9" s="18" t="s">
        <v>59</v>
      </c>
      <c r="D9" s="15" t="s">
        <v>60</v>
      </c>
      <c r="E9" s="18" t="s">
        <v>61</v>
      </c>
      <c r="F9" s="18" t="s">
        <v>62</v>
      </c>
      <c r="G9" s="18" t="s">
        <v>62</v>
      </c>
      <c r="H9" s="19" t="s">
        <v>83</v>
      </c>
      <c r="I9" s="19" t="s">
        <v>64</v>
      </c>
      <c r="J9" s="18" t="s">
        <v>89</v>
      </c>
      <c r="K9" s="18" t="s">
        <v>66</v>
      </c>
      <c r="L9" s="16" t="s">
        <v>67</v>
      </c>
      <c r="M9" s="18" t="s">
        <v>90</v>
      </c>
    </row>
    <row r="10" customFormat="false" ht="22.35" hidden="false" customHeight="false" outlineLevel="0" collapsed="false">
      <c r="A10" s="13" t="s">
        <v>91</v>
      </c>
      <c r="B10" s="14" t="s">
        <v>92</v>
      </c>
      <c r="C10" s="14" t="s">
        <v>59</v>
      </c>
      <c r="D10" s="15" t="s">
        <v>60</v>
      </c>
      <c r="E10" s="14" t="s">
        <v>93</v>
      </c>
      <c r="F10" s="14" t="s">
        <v>94</v>
      </c>
      <c r="G10" s="14" t="s">
        <v>62</v>
      </c>
      <c r="H10" s="15" t="s">
        <v>95</v>
      </c>
      <c r="I10" s="15" t="s">
        <v>64</v>
      </c>
      <c r="J10" s="14" t="s">
        <v>96</v>
      </c>
      <c r="K10" s="14" t="s">
        <v>97</v>
      </c>
      <c r="L10" s="21" t="s">
        <v>98</v>
      </c>
      <c r="M10" s="14" t="s">
        <v>99</v>
      </c>
    </row>
    <row r="11" customFormat="false" ht="15" hidden="false" customHeight="false" outlineLevel="0" collapsed="false">
      <c r="A11" s="17" t="s">
        <v>100</v>
      </c>
      <c r="B11" s="18" t="s">
        <v>101</v>
      </c>
      <c r="C11" s="18" t="s">
        <v>59</v>
      </c>
      <c r="D11" s="15" t="s">
        <v>60</v>
      </c>
      <c r="E11" s="18" t="s">
        <v>61</v>
      </c>
      <c r="F11" s="18" t="s">
        <v>62</v>
      </c>
      <c r="G11" s="18" t="s">
        <v>62</v>
      </c>
      <c r="H11" s="19" t="s">
        <v>63</v>
      </c>
      <c r="I11" s="19" t="s">
        <v>64</v>
      </c>
      <c r="J11" s="18" t="s">
        <v>102</v>
      </c>
      <c r="K11" s="18" t="s">
        <v>66</v>
      </c>
      <c r="L11" s="16" t="s">
        <v>67</v>
      </c>
      <c r="M11" s="18" t="s">
        <v>103</v>
      </c>
    </row>
    <row r="12" customFormat="false" ht="22.35" hidden="false" customHeight="false" outlineLevel="0" collapsed="false">
      <c r="A12" s="13" t="s">
        <v>104</v>
      </c>
      <c r="B12" s="14" t="s">
        <v>105</v>
      </c>
      <c r="C12" s="14" t="s">
        <v>59</v>
      </c>
      <c r="D12" s="15" t="s">
        <v>60</v>
      </c>
      <c r="E12" s="14" t="s">
        <v>106</v>
      </c>
      <c r="F12" s="14" t="s">
        <v>107</v>
      </c>
      <c r="G12" s="14" t="s">
        <v>62</v>
      </c>
      <c r="H12" s="15" t="s">
        <v>63</v>
      </c>
      <c r="I12" s="15" t="s">
        <v>64</v>
      </c>
      <c r="J12" s="14" t="s">
        <v>65</v>
      </c>
      <c r="K12" s="14" t="s">
        <v>108</v>
      </c>
      <c r="L12" s="16" t="s">
        <v>67</v>
      </c>
      <c r="M12" s="14" t="s">
        <v>109</v>
      </c>
    </row>
    <row r="13" customFormat="false" ht="22.35" hidden="false" customHeight="false" outlineLevel="0" collapsed="false">
      <c r="A13" s="17" t="s">
        <v>110</v>
      </c>
      <c r="B13" s="18" t="s">
        <v>111</v>
      </c>
      <c r="C13" s="18" t="s">
        <v>59</v>
      </c>
      <c r="D13" s="15" t="s">
        <v>60</v>
      </c>
      <c r="E13" s="18" t="s">
        <v>61</v>
      </c>
      <c r="F13" s="18" t="s">
        <v>62</v>
      </c>
      <c r="G13" s="18" t="s">
        <v>62</v>
      </c>
      <c r="H13" s="19" t="s">
        <v>63</v>
      </c>
      <c r="I13" s="19" t="s">
        <v>64</v>
      </c>
      <c r="J13" s="18" t="s">
        <v>74</v>
      </c>
      <c r="K13" s="18" t="s">
        <v>108</v>
      </c>
      <c r="L13" s="20" t="s">
        <v>85</v>
      </c>
      <c r="M13" s="18" t="s">
        <v>112</v>
      </c>
    </row>
    <row r="14" customFormat="false" ht="15" hidden="false" customHeight="false" outlineLevel="0" collapsed="false">
      <c r="A14" s="13" t="s">
        <v>113</v>
      </c>
      <c r="B14" s="14" t="s">
        <v>114</v>
      </c>
      <c r="C14" s="14" t="s">
        <v>59</v>
      </c>
      <c r="D14" s="15" t="s">
        <v>60</v>
      </c>
      <c r="E14" s="14" t="s">
        <v>61</v>
      </c>
      <c r="F14" s="14" t="s">
        <v>62</v>
      </c>
      <c r="G14" s="14" t="s">
        <v>62</v>
      </c>
      <c r="H14" s="15" t="s">
        <v>63</v>
      </c>
      <c r="I14" s="15" t="s">
        <v>64</v>
      </c>
      <c r="J14" s="14" t="s">
        <v>74</v>
      </c>
      <c r="K14" s="14" t="s">
        <v>108</v>
      </c>
      <c r="L14" s="20" t="s">
        <v>85</v>
      </c>
      <c r="M14" s="14" t="s">
        <v>115</v>
      </c>
    </row>
    <row r="15" customFormat="false" ht="15" hidden="false" customHeight="false" outlineLevel="0" collapsed="false">
      <c r="A15" s="17" t="s">
        <v>116</v>
      </c>
      <c r="B15" s="18" t="s">
        <v>117</v>
      </c>
      <c r="C15" s="18" t="s">
        <v>59</v>
      </c>
      <c r="D15" s="15" t="s">
        <v>60</v>
      </c>
      <c r="E15" s="18" t="s">
        <v>13</v>
      </c>
      <c r="F15" s="18" t="s">
        <v>62</v>
      </c>
      <c r="G15" s="18" t="s">
        <v>62</v>
      </c>
      <c r="H15" s="19" t="s">
        <v>63</v>
      </c>
      <c r="I15" s="19" t="s">
        <v>64</v>
      </c>
      <c r="J15" s="18" t="s">
        <v>65</v>
      </c>
      <c r="K15" s="18" t="s">
        <v>118</v>
      </c>
      <c r="L15" s="20" t="s">
        <v>85</v>
      </c>
      <c r="M15" s="18" t="s">
        <v>119</v>
      </c>
    </row>
    <row r="16" customFormat="false" ht="15" hidden="false" customHeight="false" outlineLevel="0" collapsed="false">
      <c r="A16" s="13" t="s">
        <v>120</v>
      </c>
      <c r="B16" s="14" t="s">
        <v>121</v>
      </c>
      <c r="C16" s="14" t="s">
        <v>59</v>
      </c>
      <c r="D16" s="15" t="s">
        <v>60</v>
      </c>
      <c r="E16" s="14" t="s">
        <v>61</v>
      </c>
      <c r="F16" s="14" t="s">
        <v>62</v>
      </c>
      <c r="G16" s="14" t="s">
        <v>62</v>
      </c>
      <c r="H16" s="15" t="s">
        <v>63</v>
      </c>
      <c r="I16" s="15" t="s">
        <v>64</v>
      </c>
      <c r="J16" s="14" t="s">
        <v>74</v>
      </c>
      <c r="K16" s="14" t="s">
        <v>118</v>
      </c>
      <c r="L16" s="16" t="s">
        <v>67</v>
      </c>
      <c r="M16" s="14" t="s">
        <v>122</v>
      </c>
    </row>
    <row r="17" customFormat="false" ht="22.35" hidden="false" customHeight="false" outlineLevel="0" collapsed="false">
      <c r="A17" s="17" t="s">
        <v>123</v>
      </c>
      <c r="B17" s="18" t="s">
        <v>124</v>
      </c>
      <c r="C17" s="18" t="s">
        <v>59</v>
      </c>
      <c r="D17" s="15" t="s">
        <v>60</v>
      </c>
      <c r="E17" s="18" t="s">
        <v>13</v>
      </c>
      <c r="F17" s="18" t="s">
        <v>62</v>
      </c>
      <c r="G17" s="18" t="s">
        <v>62</v>
      </c>
      <c r="H17" s="19" t="s">
        <v>63</v>
      </c>
      <c r="I17" s="19" t="s">
        <v>64</v>
      </c>
      <c r="J17" s="18" t="s">
        <v>74</v>
      </c>
      <c r="K17" s="18" t="s">
        <v>125</v>
      </c>
      <c r="L17" s="20" t="s">
        <v>85</v>
      </c>
      <c r="M17" s="18" t="s">
        <v>126</v>
      </c>
    </row>
    <row r="18" customFormat="false" ht="15" hidden="false" customHeight="false" outlineLevel="0" collapsed="false">
      <c r="A18" s="13" t="s">
        <v>127</v>
      </c>
      <c r="B18" s="14" t="s">
        <v>128</v>
      </c>
      <c r="C18" s="14" t="s">
        <v>59</v>
      </c>
      <c r="D18" s="15" t="s">
        <v>60</v>
      </c>
      <c r="E18" s="14" t="s">
        <v>61</v>
      </c>
      <c r="F18" s="14" t="s">
        <v>62</v>
      </c>
      <c r="G18" s="14" t="s">
        <v>62</v>
      </c>
      <c r="H18" s="15" t="s">
        <v>63</v>
      </c>
      <c r="I18" s="15" t="s">
        <v>64</v>
      </c>
      <c r="J18" s="14" t="s">
        <v>74</v>
      </c>
      <c r="K18" s="14" t="s">
        <v>129</v>
      </c>
      <c r="L18" s="20" t="s">
        <v>85</v>
      </c>
      <c r="M18" s="14" t="s">
        <v>130</v>
      </c>
    </row>
    <row r="19" customFormat="false" ht="15" hidden="false" customHeight="false" outlineLevel="0" collapsed="false">
      <c r="A19" s="17" t="s">
        <v>131</v>
      </c>
      <c r="B19" s="18" t="s">
        <v>132</v>
      </c>
      <c r="C19" s="18" t="s">
        <v>59</v>
      </c>
      <c r="D19" s="15" t="s">
        <v>60</v>
      </c>
      <c r="E19" s="18" t="s">
        <v>61</v>
      </c>
      <c r="F19" s="18" t="s">
        <v>62</v>
      </c>
      <c r="G19" s="18" t="s">
        <v>62</v>
      </c>
      <c r="H19" s="19" t="s">
        <v>63</v>
      </c>
      <c r="I19" s="19" t="s">
        <v>64</v>
      </c>
      <c r="J19" s="18" t="s">
        <v>74</v>
      </c>
      <c r="K19" s="18" t="s">
        <v>129</v>
      </c>
      <c r="L19" s="20" t="s">
        <v>85</v>
      </c>
      <c r="M19" s="18" t="s">
        <v>133</v>
      </c>
    </row>
    <row r="20" customFormat="false" ht="15" hidden="false" customHeight="false" outlineLevel="0" collapsed="false">
      <c r="A20" s="13" t="s">
        <v>134</v>
      </c>
      <c r="B20" s="14" t="s">
        <v>135</v>
      </c>
      <c r="C20" s="14" t="s">
        <v>59</v>
      </c>
      <c r="D20" s="15" t="s">
        <v>60</v>
      </c>
      <c r="E20" s="14" t="s">
        <v>136</v>
      </c>
      <c r="F20" s="14" t="s">
        <v>137</v>
      </c>
      <c r="G20" s="14" t="s">
        <v>62</v>
      </c>
      <c r="H20" s="15" t="s">
        <v>63</v>
      </c>
      <c r="I20" s="15" t="s">
        <v>64</v>
      </c>
      <c r="J20" s="14" t="s">
        <v>74</v>
      </c>
      <c r="K20" s="14" t="s">
        <v>129</v>
      </c>
      <c r="L20" s="20" t="s">
        <v>85</v>
      </c>
      <c r="M20" s="14" t="s">
        <v>138</v>
      </c>
    </row>
    <row r="21" customFormat="false" ht="15" hidden="false" customHeight="false" outlineLevel="0" collapsed="false">
      <c r="A21" s="17" t="s">
        <v>139</v>
      </c>
      <c r="B21" s="18" t="s">
        <v>140</v>
      </c>
      <c r="C21" s="18" t="s">
        <v>59</v>
      </c>
      <c r="D21" s="15" t="s">
        <v>60</v>
      </c>
      <c r="E21" s="18" t="s">
        <v>11</v>
      </c>
      <c r="F21" s="18" t="s">
        <v>62</v>
      </c>
      <c r="G21" s="18" t="s">
        <v>141</v>
      </c>
      <c r="H21" s="19" t="s">
        <v>63</v>
      </c>
      <c r="I21" s="19" t="s">
        <v>64</v>
      </c>
      <c r="J21" s="18" t="s">
        <v>74</v>
      </c>
      <c r="K21" s="18" t="s">
        <v>129</v>
      </c>
      <c r="L21" s="20" t="s">
        <v>85</v>
      </c>
      <c r="M21" s="18" t="s">
        <v>142</v>
      </c>
    </row>
    <row r="22" customFormat="false" ht="15" hidden="false" customHeight="false" outlineLevel="0" collapsed="false">
      <c r="A22" s="13" t="s">
        <v>143</v>
      </c>
      <c r="B22" s="14" t="s">
        <v>144</v>
      </c>
      <c r="C22" s="14" t="s">
        <v>59</v>
      </c>
      <c r="D22" s="15" t="s">
        <v>60</v>
      </c>
      <c r="E22" s="14" t="s">
        <v>145</v>
      </c>
      <c r="F22" s="14" t="s">
        <v>146</v>
      </c>
      <c r="G22" s="14" t="s">
        <v>147</v>
      </c>
      <c r="H22" s="15" t="s">
        <v>63</v>
      </c>
      <c r="I22" s="15" t="s">
        <v>64</v>
      </c>
      <c r="J22" s="14" t="s">
        <v>102</v>
      </c>
      <c r="K22" s="14" t="s">
        <v>148</v>
      </c>
      <c r="L22" s="16" t="s">
        <v>67</v>
      </c>
      <c r="M22" s="14" t="s">
        <v>149</v>
      </c>
    </row>
    <row r="23" customFormat="false" ht="22.35" hidden="false" customHeight="false" outlineLevel="0" collapsed="false">
      <c r="A23" s="17" t="s">
        <v>150</v>
      </c>
      <c r="B23" s="18" t="s">
        <v>151</v>
      </c>
      <c r="C23" s="18" t="s">
        <v>59</v>
      </c>
      <c r="D23" s="15" t="s">
        <v>60</v>
      </c>
      <c r="E23" s="18" t="s">
        <v>152</v>
      </c>
      <c r="F23" s="18" t="s">
        <v>153</v>
      </c>
      <c r="G23" s="18" t="s">
        <v>62</v>
      </c>
      <c r="H23" s="19" t="s">
        <v>63</v>
      </c>
      <c r="I23" s="19" t="s">
        <v>64</v>
      </c>
      <c r="J23" s="18" t="s">
        <v>102</v>
      </c>
      <c r="K23" s="18" t="s">
        <v>148</v>
      </c>
      <c r="L23" s="16" t="s">
        <v>67</v>
      </c>
      <c r="M23" s="18" t="s">
        <v>154</v>
      </c>
    </row>
    <row r="24" customFormat="false" ht="22.35" hidden="false" customHeight="false" outlineLevel="0" collapsed="false">
      <c r="A24" s="13" t="s">
        <v>155</v>
      </c>
      <c r="B24" s="14" t="s">
        <v>156</v>
      </c>
      <c r="C24" s="14" t="s">
        <v>59</v>
      </c>
      <c r="D24" s="15" t="s">
        <v>60</v>
      </c>
      <c r="E24" s="14" t="s">
        <v>157</v>
      </c>
      <c r="F24" s="14" t="s">
        <v>158</v>
      </c>
      <c r="G24" s="14" t="s">
        <v>62</v>
      </c>
      <c r="H24" s="15" t="s">
        <v>63</v>
      </c>
      <c r="I24" s="15" t="s">
        <v>64</v>
      </c>
      <c r="J24" s="14" t="s">
        <v>102</v>
      </c>
      <c r="K24" s="14" t="s">
        <v>148</v>
      </c>
      <c r="L24" s="21" t="s">
        <v>98</v>
      </c>
      <c r="M24" s="14" t="s">
        <v>99</v>
      </c>
    </row>
    <row r="25" customFormat="false" ht="22.35" hidden="false" customHeight="false" outlineLevel="0" collapsed="false">
      <c r="A25" s="17" t="s">
        <v>159</v>
      </c>
      <c r="B25" s="18" t="s">
        <v>160</v>
      </c>
      <c r="C25" s="18" t="s">
        <v>59</v>
      </c>
      <c r="D25" s="15" t="s">
        <v>60</v>
      </c>
      <c r="E25" s="18" t="s">
        <v>161</v>
      </c>
      <c r="F25" s="18" t="s">
        <v>162</v>
      </c>
      <c r="G25" s="18" t="s">
        <v>62</v>
      </c>
      <c r="H25" s="19" t="s">
        <v>95</v>
      </c>
      <c r="I25" s="19" t="s">
        <v>64</v>
      </c>
      <c r="J25" s="18" t="s">
        <v>102</v>
      </c>
      <c r="K25" s="18" t="s">
        <v>148</v>
      </c>
      <c r="L25" s="16" t="s">
        <v>67</v>
      </c>
      <c r="M25" s="18" t="s">
        <v>163</v>
      </c>
    </row>
    <row r="26" customFormat="false" ht="22.35" hidden="false" customHeight="false" outlineLevel="0" collapsed="false">
      <c r="A26" s="13" t="s">
        <v>164</v>
      </c>
      <c r="B26" s="14" t="s">
        <v>165</v>
      </c>
      <c r="C26" s="14" t="s">
        <v>59</v>
      </c>
      <c r="D26" s="15" t="s">
        <v>60</v>
      </c>
      <c r="E26" s="14" t="s">
        <v>166</v>
      </c>
      <c r="F26" s="14" t="s">
        <v>167</v>
      </c>
      <c r="G26" s="14" t="s">
        <v>62</v>
      </c>
      <c r="H26" s="15" t="s">
        <v>63</v>
      </c>
      <c r="I26" s="15" t="s">
        <v>64</v>
      </c>
      <c r="J26" s="14" t="s">
        <v>74</v>
      </c>
      <c r="K26" s="14" t="s">
        <v>148</v>
      </c>
      <c r="L26" s="16" t="s">
        <v>67</v>
      </c>
      <c r="M26" s="14" t="s">
        <v>168</v>
      </c>
    </row>
    <row r="27" customFormat="false" ht="22.35" hidden="false" customHeight="false" outlineLevel="0" collapsed="false">
      <c r="A27" s="17" t="s">
        <v>169</v>
      </c>
      <c r="B27" s="18" t="s">
        <v>170</v>
      </c>
      <c r="C27" s="18" t="s">
        <v>59</v>
      </c>
      <c r="D27" s="15" t="s">
        <v>60</v>
      </c>
      <c r="E27" s="18" t="s">
        <v>171</v>
      </c>
      <c r="F27" s="18" t="s">
        <v>62</v>
      </c>
      <c r="G27" s="18" t="s">
        <v>172</v>
      </c>
      <c r="H27" s="19" t="s">
        <v>173</v>
      </c>
      <c r="I27" s="19" t="s">
        <v>64</v>
      </c>
      <c r="J27" s="18" t="s">
        <v>174</v>
      </c>
      <c r="K27" s="18" t="s">
        <v>175</v>
      </c>
      <c r="L27" s="20" t="s">
        <v>85</v>
      </c>
      <c r="M27" s="18" t="s">
        <v>176</v>
      </c>
    </row>
    <row r="28" customFormat="false" ht="22.35" hidden="false" customHeight="false" outlineLevel="0" collapsed="false">
      <c r="A28" s="13" t="s">
        <v>177</v>
      </c>
      <c r="B28" s="14" t="s">
        <v>178</v>
      </c>
      <c r="C28" s="14" t="s">
        <v>59</v>
      </c>
      <c r="D28" s="15" t="s">
        <v>60</v>
      </c>
      <c r="E28" s="14" t="s">
        <v>61</v>
      </c>
      <c r="F28" s="14" t="s">
        <v>62</v>
      </c>
      <c r="G28" s="14" t="s">
        <v>62</v>
      </c>
      <c r="H28" s="15" t="s">
        <v>179</v>
      </c>
      <c r="I28" s="15" t="s">
        <v>64</v>
      </c>
      <c r="J28" s="14" t="s">
        <v>180</v>
      </c>
      <c r="K28" s="14" t="s">
        <v>181</v>
      </c>
      <c r="L28" s="20" t="s">
        <v>85</v>
      </c>
      <c r="M28" s="14" t="s">
        <v>182</v>
      </c>
    </row>
    <row r="29" customFormat="false" ht="15" hidden="false" customHeight="false" outlineLevel="0" collapsed="false">
      <c r="A29" s="17" t="s">
        <v>183</v>
      </c>
      <c r="B29" s="18" t="s">
        <v>184</v>
      </c>
      <c r="C29" s="18" t="s">
        <v>59</v>
      </c>
      <c r="D29" s="15" t="s">
        <v>60</v>
      </c>
      <c r="E29" s="18" t="s">
        <v>61</v>
      </c>
      <c r="F29" s="18" t="s">
        <v>62</v>
      </c>
      <c r="G29" s="18" t="s">
        <v>62</v>
      </c>
      <c r="H29" s="19" t="s">
        <v>173</v>
      </c>
      <c r="I29" s="19" t="s">
        <v>64</v>
      </c>
      <c r="J29" s="18" t="s">
        <v>174</v>
      </c>
      <c r="K29" s="18" t="s">
        <v>181</v>
      </c>
      <c r="L29" s="20" t="s">
        <v>85</v>
      </c>
      <c r="M29" s="18" t="s">
        <v>185</v>
      </c>
    </row>
    <row r="30" customFormat="false" ht="15" hidden="false" customHeight="false" outlineLevel="0" collapsed="false">
      <c r="A30" s="13" t="s">
        <v>186</v>
      </c>
      <c r="B30" s="14" t="s">
        <v>187</v>
      </c>
      <c r="C30" s="14" t="s">
        <v>59</v>
      </c>
      <c r="D30" s="15" t="s">
        <v>60</v>
      </c>
      <c r="E30" s="14" t="s">
        <v>61</v>
      </c>
      <c r="F30" s="14" t="s">
        <v>62</v>
      </c>
      <c r="G30" s="14" t="s">
        <v>62</v>
      </c>
      <c r="H30" s="15" t="s">
        <v>63</v>
      </c>
      <c r="I30" s="15" t="s">
        <v>64</v>
      </c>
      <c r="J30" s="14" t="s">
        <v>65</v>
      </c>
      <c r="K30" s="14" t="s">
        <v>181</v>
      </c>
      <c r="L30" s="20" t="s">
        <v>85</v>
      </c>
      <c r="M30" s="14" t="s">
        <v>188</v>
      </c>
    </row>
    <row r="31" customFormat="false" ht="15" hidden="false" customHeight="false" outlineLevel="0" collapsed="false">
      <c r="A31" s="17" t="s">
        <v>189</v>
      </c>
      <c r="B31" s="18" t="s">
        <v>190</v>
      </c>
      <c r="C31" s="18" t="s">
        <v>59</v>
      </c>
      <c r="D31" s="15" t="s">
        <v>60</v>
      </c>
      <c r="E31" s="18" t="s">
        <v>61</v>
      </c>
      <c r="F31" s="18" t="s">
        <v>62</v>
      </c>
      <c r="G31" s="18" t="s">
        <v>62</v>
      </c>
      <c r="H31" s="19" t="s">
        <v>173</v>
      </c>
      <c r="I31" s="19" t="s">
        <v>64</v>
      </c>
      <c r="J31" s="18" t="s">
        <v>180</v>
      </c>
      <c r="K31" s="18" t="s">
        <v>181</v>
      </c>
      <c r="L31" s="20" t="s">
        <v>85</v>
      </c>
      <c r="M31" s="18" t="s">
        <v>191</v>
      </c>
    </row>
    <row r="32" customFormat="false" ht="22.35" hidden="false" customHeight="false" outlineLevel="0" collapsed="false">
      <c r="A32" s="13" t="s">
        <v>192</v>
      </c>
      <c r="B32" s="14" t="s">
        <v>193</v>
      </c>
      <c r="C32" s="14" t="s">
        <v>59</v>
      </c>
      <c r="D32" s="15" t="s">
        <v>60</v>
      </c>
      <c r="E32" s="14" t="s">
        <v>194</v>
      </c>
      <c r="F32" s="14" t="s">
        <v>195</v>
      </c>
      <c r="G32" s="14" t="s">
        <v>62</v>
      </c>
      <c r="H32" s="15" t="s">
        <v>83</v>
      </c>
      <c r="I32" s="15" t="s">
        <v>64</v>
      </c>
      <c r="J32" s="14" t="s">
        <v>196</v>
      </c>
      <c r="K32" s="14" t="s">
        <v>197</v>
      </c>
      <c r="L32" s="16" t="s">
        <v>67</v>
      </c>
      <c r="M32" s="14" t="s">
        <v>198</v>
      </c>
    </row>
    <row r="33" customFormat="false" ht="15" hidden="false" customHeight="false" outlineLevel="0" collapsed="false">
      <c r="A33" s="17" t="s">
        <v>199</v>
      </c>
      <c r="B33" s="18" t="s">
        <v>200</v>
      </c>
      <c r="C33" s="18" t="s">
        <v>59</v>
      </c>
      <c r="D33" s="15" t="s">
        <v>60</v>
      </c>
      <c r="E33" s="18" t="s">
        <v>201</v>
      </c>
      <c r="F33" s="18" t="s">
        <v>202</v>
      </c>
      <c r="G33" s="18" t="s">
        <v>62</v>
      </c>
      <c r="H33" s="19" t="s">
        <v>173</v>
      </c>
      <c r="I33" s="19" t="s">
        <v>203</v>
      </c>
      <c r="J33" s="18" t="s">
        <v>204</v>
      </c>
      <c r="K33" s="18" t="s">
        <v>197</v>
      </c>
      <c r="L33" s="16" t="s">
        <v>67</v>
      </c>
      <c r="M33" s="18" t="s">
        <v>205</v>
      </c>
    </row>
    <row r="34" customFormat="false" ht="22.35" hidden="false" customHeight="false" outlineLevel="0" collapsed="false">
      <c r="A34" s="13" t="s">
        <v>206</v>
      </c>
      <c r="B34" s="14" t="s">
        <v>207</v>
      </c>
      <c r="C34" s="14" t="s">
        <v>59</v>
      </c>
      <c r="D34" s="15" t="s">
        <v>60</v>
      </c>
      <c r="E34" s="14" t="s">
        <v>208</v>
      </c>
      <c r="F34" s="14" t="s">
        <v>209</v>
      </c>
      <c r="G34" s="14" t="s">
        <v>210</v>
      </c>
      <c r="H34" s="15" t="s">
        <v>63</v>
      </c>
      <c r="I34" s="15" t="s">
        <v>64</v>
      </c>
      <c r="J34" s="14" t="s">
        <v>65</v>
      </c>
      <c r="K34" s="14" t="s">
        <v>211</v>
      </c>
      <c r="L34" s="20" t="s">
        <v>85</v>
      </c>
      <c r="M34" s="14" t="s">
        <v>212</v>
      </c>
    </row>
    <row r="35" customFormat="false" ht="15" hidden="false" customHeight="false" outlineLevel="0" collapsed="false">
      <c r="A35" s="17" t="s">
        <v>213</v>
      </c>
      <c r="B35" s="18" t="s">
        <v>214</v>
      </c>
      <c r="C35" s="18" t="s">
        <v>59</v>
      </c>
      <c r="D35" s="15" t="s">
        <v>60</v>
      </c>
      <c r="E35" s="18" t="s">
        <v>11</v>
      </c>
      <c r="F35" s="18" t="s">
        <v>62</v>
      </c>
      <c r="G35" s="18" t="s">
        <v>215</v>
      </c>
      <c r="H35" s="19" t="s">
        <v>63</v>
      </c>
      <c r="I35" s="19" t="s">
        <v>64</v>
      </c>
      <c r="J35" s="18" t="s">
        <v>65</v>
      </c>
      <c r="K35" s="18" t="s">
        <v>211</v>
      </c>
      <c r="L35" s="16" t="s">
        <v>67</v>
      </c>
      <c r="M35" s="18" t="s">
        <v>216</v>
      </c>
    </row>
    <row r="36" customFormat="false" ht="22.35" hidden="false" customHeight="false" outlineLevel="0" collapsed="false">
      <c r="A36" s="13" t="s">
        <v>217</v>
      </c>
      <c r="B36" s="14" t="s">
        <v>218</v>
      </c>
      <c r="C36" s="14" t="s">
        <v>59</v>
      </c>
      <c r="D36" s="15" t="s">
        <v>60</v>
      </c>
      <c r="E36" s="14" t="s">
        <v>219</v>
      </c>
      <c r="F36" s="14" t="s">
        <v>220</v>
      </c>
      <c r="G36" s="14" t="s">
        <v>221</v>
      </c>
      <c r="H36" s="15" t="s">
        <v>63</v>
      </c>
      <c r="I36" s="15" t="s">
        <v>64</v>
      </c>
      <c r="J36" s="14" t="s">
        <v>74</v>
      </c>
      <c r="K36" s="14" t="s">
        <v>211</v>
      </c>
      <c r="L36" s="16" t="s">
        <v>67</v>
      </c>
      <c r="M36" s="14" t="s">
        <v>222</v>
      </c>
    </row>
    <row r="37" customFormat="false" ht="22.35" hidden="false" customHeight="false" outlineLevel="0" collapsed="false">
      <c r="A37" s="17" t="s">
        <v>223</v>
      </c>
      <c r="B37" s="18" t="s">
        <v>224</v>
      </c>
      <c r="C37" s="18" t="s">
        <v>59</v>
      </c>
      <c r="D37" s="15" t="s">
        <v>60</v>
      </c>
      <c r="E37" s="18" t="s">
        <v>219</v>
      </c>
      <c r="F37" s="18" t="s">
        <v>220</v>
      </c>
      <c r="G37" s="18" t="s">
        <v>225</v>
      </c>
      <c r="H37" s="19" t="s">
        <v>63</v>
      </c>
      <c r="I37" s="19" t="s">
        <v>64</v>
      </c>
      <c r="J37" s="18" t="s">
        <v>102</v>
      </c>
      <c r="K37" s="18" t="s">
        <v>226</v>
      </c>
      <c r="L37" s="16" t="s">
        <v>67</v>
      </c>
      <c r="M37" s="18" t="s">
        <v>227</v>
      </c>
    </row>
    <row r="38" customFormat="false" ht="22.35" hidden="false" customHeight="false" outlineLevel="0" collapsed="false">
      <c r="A38" s="13" t="s">
        <v>228</v>
      </c>
      <c r="B38" s="14" t="s">
        <v>229</v>
      </c>
      <c r="C38" s="14" t="s">
        <v>59</v>
      </c>
      <c r="D38" s="15" t="s">
        <v>60</v>
      </c>
      <c r="E38" s="14" t="s">
        <v>61</v>
      </c>
      <c r="F38" s="14" t="s">
        <v>62</v>
      </c>
      <c r="G38" s="14" t="s">
        <v>62</v>
      </c>
      <c r="H38" s="15" t="s">
        <v>95</v>
      </c>
      <c r="I38" s="15" t="s">
        <v>64</v>
      </c>
      <c r="J38" s="14" t="s">
        <v>102</v>
      </c>
      <c r="K38" s="14" t="s">
        <v>230</v>
      </c>
      <c r="L38" s="16" t="s">
        <v>67</v>
      </c>
      <c r="M38" s="14" t="s">
        <v>231</v>
      </c>
    </row>
    <row r="39" customFormat="false" ht="22.35" hidden="false" customHeight="false" outlineLevel="0" collapsed="false">
      <c r="A39" s="17" t="s">
        <v>232</v>
      </c>
      <c r="B39" s="18" t="s">
        <v>233</v>
      </c>
      <c r="C39" s="18" t="s">
        <v>59</v>
      </c>
      <c r="D39" s="15" t="s">
        <v>60</v>
      </c>
      <c r="E39" s="18" t="s">
        <v>234</v>
      </c>
      <c r="F39" s="18" t="s">
        <v>235</v>
      </c>
      <c r="G39" s="18" t="s">
        <v>62</v>
      </c>
      <c r="H39" s="19" t="s">
        <v>95</v>
      </c>
      <c r="I39" s="19" t="s">
        <v>64</v>
      </c>
      <c r="J39" s="18" t="s">
        <v>102</v>
      </c>
      <c r="K39" s="18" t="s">
        <v>211</v>
      </c>
      <c r="L39" s="16" t="s">
        <v>67</v>
      </c>
      <c r="M39" s="18" t="s">
        <v>236</v>
      </c>
    </row>
    <row r="40" customFormat="false" ht="22.35" hidden="false" customHeight="false" outlineLevel="0" collapsed="false">
      <c r="A40" s="13" t="s">
        <v>237</v>
      </c>
      <c r="B40" s="14" t="s">
        <v>238</v>
      </c>
      <c r="C40" s="14" t="s">
        <v>59</v>
      </c>
      <c r="D40" s="15" t="s">
        <v>60</v>
      </c>
      <c r="E40" s="14" t="s">
        <v>234</v>
      </c>
      <c r="F40" s="14" t="s">
        <v>235</v>
      </c>
      <c r="G40" s="14" t="s">
        <v>62</v>
      </c>
      <c r="H40" s="15" t="s">
        <v>83</v>
      </c>
      <c r="I40" s="15" t="s">
        <v>64</v>
      </c>
      <c r="J40" s="14" t="s">
        <v>239</v>
      </c>
      <c r="K40" s="14" t="s">
        <v>240</v>
      </c>
      <c r="L40" s="16" t="s">
        <v>67</v>
      </c>
      <c r="M40" s="14" t="s">
        <v>241</v>
      </c>
    </row>
    <row r="41" customFormat="false" ht="15" hidden="false" customHeight="false" outlineLevel="0" collapsed="false">
      <c r="A41" s="17" t="s">
        <v>242</v>
      </c>
      <c r="B41" s="18" t="s">
        <v>243</v>
      </c>
      <c r="C41" s="18" t="s">
        <v>244</v>
      </c>
      <c r="D41" s="15" t="s">
        <v>60</v>
      </c>
      <c r="E41" s="18" t="s">
        <v>11</v>
      </c>
      <c r="F41" s="18" t="s">
        <v>62</v>
      </c>
      <c r="G41" s="18" t="s">
        <v>245</v>
      </c>
      <c r="H41" s="19" t="s">
        <v>63</v>
      </c>
      <c r="I41" s="19" t="s">
        <v>64</v>
      </c>
      <c r="J41" s="18" t="s">
        <v>74</v>
      </c>
      <c r="K41" s="18" t="s">
        <v>246</v>
      </c>
      <c r="L41" s="20" t="s">
        <v>85</v>
      </c>
      <c r="M41" s="18" t="s">
        <v>247</v>
      </c>
    </row>
    <row r="42" customFormat="false" ht="15" hidden="false" customHeight="false" outlineLevel="0" collapsed="false">
      <c r="A42" s="13" t="s">
        <v>248</v>
      </c>
      <c r="B42" s="14" t="s">
        <v>249</v>
      </c>
      <c r="C42" s="14" t="s">
        <v>244</v>
      </c>
      <c r="D42" s="15" t="s">
        <v>60</v>
      </c>
      <c r="E42" s="14" t="s">
        <v>61</v>
      </c>
      <c r="F42" s="14" t="s">
        <v>62</v>
      </c>
      <c r="G42" s="14" t="s">
        <v>62</v>
      </c>
      <c r="H42" s="15" t="s">
        <v>63</v>
      </c>
      <c r="I42" s="15" t="s">
        <v>64</v>
      </c>
      <c r="J42" s="14" t="s">
        <v>74</v>
      </c>
      <c r="K42" s="14" t="s">
        <v>246</v>
      </c>
      <c r="L42" s="20" t="s">
        <v>85</v>
      </c>
      <c r="M42" s="14" t="s">
        <v>250</v>
      </c>
    </row>
    <row r="43" customFormat="false" ht="22.35" hidden="false" customHeight="false" outlineLevel="0" collapsed="false">
      <c r="A43" s="17" t="s">
        <v>251</v>
      </c>
      <c r="B43" s="18" t="s">
        <v>252</v>
      </c>
      <c r="C43" s="18" t="s">
        <v>244</v>
      </c>
      <c r="D43" s="15" t="s">
        <v>60</v>
      </c>
      <c r="E43" s="18" t="s">
        <v>253</v>
      </c>
      <c r="F43" s="18" t="s">
        <v>254</v>
      </c>
      <c r="G43" s="18" t="s">
        <v>255</v>
      </c>
      <c r="H43" s="19" t="s">
        <v>63</v>
      </c>
      <c r="I43" s="19" t="s">
        <v>64</v>
      </c>
      <c r="J43" s="18" t="s">
        <v>74</v>
      </c>
      <c r="K43" s="18" t="s">
        <v>246</v>
      </c>
      <c r="L43" s="16" t="s">
        <v>67</v>
      </c>
      <c r="M43" s="18" t="s">
        <v>256</v>
      </c>
    </row>
    <row r="44" customFormat="false" ht="22.35" hidden="false" customHeight="false" outlineLevel="0" collapsed="false">
      <c r="A44" s="13" t="s">
        <v>257</v>
      </c>
      <c r="B44" s="14" t="s">
        <v>258</v>
      </c>
      <c r="C44" s="14" t="s">
        <v>244</v>
      </c>
      <c r="D44" s="15" t="s">
        <v>60</v>
      </c>
      <c r="E44" s="14" t="s">
        <v>61</v>
      </c>
      <c r="F44" s="14" t="s">
        <v>62</v>
      </c>
      <c r="G44" s="14" t="s">
        <v>62</v>
      </c>
      <c r="H44" s="15" t="s">
        <v>83</v>
      </c>
      <c r="I44" s="15" t="s">
        <v>64</v>
      </c>
      <c r="J44" s="14" t="s">
        <v>74</v>
      </c>
      <c r="K44" s="14" t="s">
        <v>246</v>
      </c>
      <c r="L44" s="20" t="s">
        <v>85</v>
      </c>
      <c r="M44" s="14" t="s">
        <v>259</v>
      </c>
    </row>
    <row r="45" customFormat="false" ht="22.35" hidden="false" customHeight="false" outlineLevel="0" collapsed="false">
      <c r="A45" s="17" t="s">
        <v>260</v>
      </c>
      <c r="B45" s="18" t="s">
        <v>261</v>
      </c>
      <c r="C45" s="18" t="s">
        <v>244</v>
      </c>
      <c r="D45" s="15" t="s">
        <v>60</v>
      </c>
      <c r="E45" s="18" t="s">
        <v>61</v>
      </c>
      <c r="F45" s="18" t="s">
        <v>62</v>
      </c>
      <c r="G45" s="18" t="s">
        <v>62</v>
      </c>
      <c r="H45" s="19" t="s">
        <v>63</v>
      </c>
      <c r="I45" s="19" t="s">
        <v>64</v>
      </c>
      <c r="J45" s="18" t="s">
        <v>74</v>
      </c>
      <c r="K45" s="18" t="s">
        <v>246</v>
      </c>
      <c r="L45" s="20" t="s">
        <v>85</v>
      </c>
      <c r="M45" s="18" t="s">
        <v>262</v>
      </c>
    </row>
    <row r="46" customFormat="false" ht="15" hidden="false" customHeight="false" outlineLevel="0" collapsed="false">
      <c r="A46" s="13" t="s">
        <v>263</v>
      </c>
      <c r="B46" s="14" t="s">
        <v>264</v>
      </c>
      <c r="C46" s="14" t="s">
        <v>244</v>
      </c>
      <c r="D46" s="15" t="s">
        <v>60</v>
      </c>
      <c r="E46" s="14" t="s">
        <v>13</v>
      </c>
      <c r="F46" s="14" t="s">
        <v>62</v>
      </c>
      <c r="G46" s="14" t="s">
        <v>62</v>
      </c>
      <c r="H46" s="15" t="s">
        <v>63</v>
      </c>
      <c r="I46" s="15" t="s">
        <v>265</v>
      </c>
      <c r="J46" s="14" t="s">
        <v>74</v>
      </c>
      <c r="K46" s="14" t="s">
        <v>246</v>
      </c>
      <c r="L46" s="16" t="s">
        <v>67</v>
      </c>
      <c r="M46" s="14" t="s">
        <v>266</v>
      </c>
    </row>
    <row r="47" customFormat="false" ht="15" hidden="false" customHeight="false" outlineLevel="0" collapsed="false">
      <c r="A47" s="17" t="s">
        <v>267</v>
      </c>
      <c r="B47" s="18" t="s">
        <v>268</v>
      </c>
      <c r="C47" s="18" t="s">
        <v>244</v>
      </c>
      <c r="D47" s="15" t="s">
        <v>60</v>
      </c>
      <c r="E47" s="18" t="s">
        <v>61</v>
      </c>
      <c r="F47" s="18" t="s">
        <v>62</v>
      </c>
      <c r="G47" s="18" t="s">
        <v>62</v>
      </c>
      <c r="H47" s="19" t="s">
        <v>63</v>
      </c>
      <c r="I47" s="19" t="s">
        <v>64</v>
      </c>
      <c r="J47" s="18" t="s">
        <v>74</v>
      </c>
      <c r="K47" s="18" t="s">
        <v>269</v>
      </c>
      <c r="L47" s="20" t="s">
        <v>85</v>
      </c>
      <c r="M47" s="18" t="s">
        <v>270</v>
      </c>
    </row>
    <row r="48" customFormat="false" ht="15" hidden="false" customHeight="false" outlineLevel="0" collapsed="false">
      <c r="A48" s="13" t="s">
        <v>271</v>
      </c>
      <c r="B48" s="14" t="s">
        <v>272</v>
      </c>
      <c r="C48" s="14" t="s">
        <v>244</v>
      </c>
      <c r="D48" s="15" t="s">
        <v>60</v>
      </c>
      <c r="E48" s="14" t="s">
        <v>273</v>
      </c>
      <c r="F48" s="14" t="s">
        <v>274</v>
      </c>
      <c r="G48" s="14" t="s">
        <v>62</v>
      </c>
      <c r="H48" s="15" t="s">
        <v>275</v>
      </c>
      <c r="I48" s="15" t="s">
        <v>64</v>
      </c>
      <c r="J48" s="14" t="s">
        <v>276</v>
      </c>
      <c r="K48" s="14" t="s">
        <v>181</v>
      </c>
      <c r="L48" s="20" t="s">
        <v>85</v>
      </c>
      <c r="M48" s="14" t="s">
        <v>277</v>
      </c>
    </row>
    <row r="49" customFormat="false" ht="15" hidden="false" customHeight="false" outlineLevel="0" collapsed="false">
      <c r="A49" s="17" t="s">
        <v>278</v>
      </c>
      <c r="B49" s="18" t="s">
        <v>279</v>
      </c>
      <c r="C49" s="18" t="s">
        <v>280</v>
      </c>
      <c r="D49" s="15" t="s">
        <v>60</v>
      </c>
      <c r="E49" s="18" t="s">
        <v>281</v>
      </c>
      <c r="F49" s="18" t="s">
        <v>282</v>
      </c>
      <c r="G49" s="18" t="s">
        <v>62</v>
      </c>
      <c r="H49" s="19" t="s">
        <v>63</v>
      </c>
      <c r="I49" s="19" t="s">
        <v>64</v>
      </c>
      <c r="J49" s="18" t="s">
        <v>74</v>
      </c>
      <c r="K49" s="18" t="s">
        <v>283</v>
      </c>
      <c r="L49" s="16" t="s">
        <v>67</v>
      </c>
      <c r="M49" s="18" t="s">
        <v>284</v>
      </c>
    </row>
    <row r="50" customFormat="false" ht="15" hidden="false" customHeight="false" outlineLevel="0" collapsed="false">
      <c r="A50" s="13" t="s">
        <v>285</v>
      </c>
      <c r="B50" s="14" t="s">
        <v>286</v>
      </c>
      <c r="C50" s="14" t="s">
        <v>280</v>
      </c>
      <c r="D50" s="15" t="s">
        <v>60</v>
      </c>
      <c r="E50" s="14" t="s">
        <v>281</v>
      </c>
      <c r="F50" s="14" t="s">
        <v>282</v>
      </c>
      <c r="G50" s="14" t="s">
        <v>62</v>
      </c>
      <c r="H50" s="15" t="s">
        <v>63</v>
      </c>
      <c r="I50" s="15" t="s">
        <v>64</v>
      </c>
      <c r="J50" s="14" t="s">
        <v>74</v>
      </c>
      <c r="K50" s="14" t="s">
        <v>283</v>
      </c>
      <c r="L50" s="16" t="s">
        <v>67</v>
      </c>
      <c r="M50" s="14" t="s">
        <v>287</v>
      </c>
    </row>
    <row r="51" customFormat="false" ht="15" hidden="false" customHeight="false" outlineLevel="0" collapsed="false">
      <c r="A51" s="17" t="s">
        <v>288</v>
      </c>
      <c r="B51" s="18" t="s">
        <v>289</v>
      </c>
      <c r="C51" s="18" t="s">
        <v>280</v>
      </c>
      <c r="D51" s="15" t="s">
        <v>60</v>
      </c>
      <c r="E51" s="18" t="s">
        <v>61</v>
      </c>
      <c r="F51" s="18" t="s">
        <v>62</v>
      </c>
      <c r="G51" s="18" t="s">
        <v>62</v>
      </c>
      <c r="H51" s="19" t="s">
        <v>63</v>
      </c>
      <c r="I51" s="19" t="s">
        <v>64</v>
      </c>
      <c r="J51" s="18" t="s">
        <v>74</v>
      </c>
      <c r="K51" s="18" t="s">
        <v>283</v>
      </c>
      <c r="L51" s="20" t="s">
        <v>85</v>
      </c>
      <c r="M51" s="18" t="s">
        <v>290</v>
      </c>
    </row>
    <row r="52" customFormat="false" ht="22.35" hidden="false" customHeight="false" outlineLevel="0" collapsed="false">
      <c r="A52" s="13" t="s">
        <v>291</v>
      </c>
      <c r="B52" s="14" t="s">
        <v>292</v>
      </c>
      <c r="C52" s="14" t="s">
        <v>280</v>
      </c>
      <c r="D52" s="15" t="s">
        <v>60</v>
      </c>
      <c r="E52" s="14" t="s">
        <v>281</v>
      </c>
      <c r="F52" s="14" t="s">
        <v>282</v>
      </c>
      <c r="G52" s="14" t="s">
        <v>62</v>
      </c>
      <c r="H52" s="15" t="s">
        <v>179</v>
      </c>
      <c r="I52" s="15" t="s">
        <v>64</v>
      </c>
      <c r="J52" s="14" t="s">
        <v>276</v>
      </c>
      <c r="K52" s="14" t="s">
        <v>283</v>
      </c>
      <c r="L52" s="16" t="s">
        <v>67</v>
      </c>
      <c r="M52" s="14" t="s">
        <v>293</v>
      </c>
    </row>
    <row r="53" customFormat="false" ht="22.35" hidden="false" customHeight="false" outlineLevel="0" collapsed="false">
      <c r="A53" s="17" t="s">
        <v>294</v>
      </c>
      <c r="B53" s="18" t="s">
        <v>295</v>
      </c>
      <c r="C53" s="18" t="s">
        <v>280</v>
      </c>
      <c r="D53" s="15" t="s">
        <v>60</v>
      </c>
      <c r="E53" s="18" t="s">
        <v>61</v>
      </c>
      <c r="F53" s="18" t="s">
        <v>62</v>
      </c>
      <c r="G53" s="18" t="s">
        <v>62</v>
      </c>
      <c r="H53" s="19" t="s">
        <v>63</v>
      </c>
      <c r="I53" s="19" t="s">
        <v>64</v>
      </c>
      <c r="J53" s="18" t="s">
        <v>74</v>
      </c>
      <c r="K53" s="18" t="s">
        <v>283</v>
      </c>
      <c r="L53" s="20" t="s">
        <v>85</v>
      </c>
      <c r="M53" s="18" t="s">
        <v>296</v>
      </c>
    </row>
    <row r="54" customFormat="false" ht="15" hidden="false" customHeight="false" outlineLevel="0" collapsed="false">
      <c r="A54" s="13" t="s">
        <v>297</v>
      </c>
      <c r="B54" s="14" t="s">
        <v>298</v>
      </c>
      <c r="C54" s="14" t="s">
        <v>280</v>
      </c>
      <c r="D54" s="15" t="s">
        <v>60</v>
      </c>
      <c r="E54" s="14" t="s">
        <v>61</v>
      </c>
      <c r="F54" s="14" t="s">
        <v>62</v>
      </c>
      <c r="G54" s="14" t="s">
        <v>62</v>
      </c>
      <c r="H54" s="15" t="s">
        <v>63</v>
      </c>
      <c r="I54" s="15" t="s">
        <v>64</v>
      </c>
      <c r="J54" s="14" t="s">
        <v>74</v>
      </c>
      <c r="K54" s="14" t="s">
        <v>283</v>
      </c>
      <c r="L54" s="20" t="s">
        <v>85</v>
      </c>
      <c r="M54" s="14" t="s">
        <v>299</v>
      </c>
    </row>
    <row r="55" customFormat="false" ht="15" hidden="false" customHeight="false" outlineLevel="0" collapsed="false">
      <c r="A55" s="17" t="s">
        <v>300</v>
      </c>
      <c r="B55" s="18" t="s">
        <v>301</v>
      </c>
      <c r="C55" s="18" t="s">
        <v>280</v>
      </c>
      <c r="D55" s="15" t="s">
        <v>60</v>
      </c>
      <c r="E55" s="18" t="s">
        <v>61</v>
      </c>
      <c r="F55" s="18" t="s">
        <v>62</v>
      </c>
      <c r="G55" s="18" t="s">
        <v>62</v>
      </c>
      <c r="H55" s="19" t="s">
        <v>63</v>
      </c>
      <c r="I55" s="19" t="s">
        <v>265</v>
      </c>
      <c r="J55" s="18" t="s">
        <v>74</v>
      </c>
      <c r="K55" s="18" t="s">
        <v>283</v>
      </c>
      <c r="L55" s="16" t="s">
        <v>67</v>
      </c>
      <c r="M55" s="18" t="s">
        <v>302</v>
      </c>
    </row>
    <row r="56" customFormat="false" ht="15" hidden="false" customHeight="false" outlineLevel="0" collapsed="false">
      <c r="A56" s="13" t="s">
        <v>303</v>
      </c>
      <c r="B56" s="14" t="s">
        <v>304</v>
      </c>
      <c r="C56" s="14" t="s">
        <v>280</v>
      </c>
      <c r="D56" s="15" t="s">
        <v>60</v>
      </c>
      <c r="E56" s="14" t="s">
        <v>61</v>
      </c>
      <c r="F56" s="14" t="s">
        <v>62</v>
      </c>
      <c r="G56" s="14" t="s">
        <v>62</v>
      </c>
      <c r="H56" s="15" t="s">
        <v>63</v>
      </c>
      <c r="I56" s="15" t="s">
        <v>64</v>
      </c>
      <c r="J56" s="14" t="s">
        <v>74</v>
      </c>
      <c r="K56" s="14" t="s">
        <v>283</v>
      </c>
      <c r="L56" s="20" t="s">
        <v>85</v>
      </c>
      <c r="M56" s="14" t="s">
        <v>305</v>
      </c>
    </row>
    <row r="57" customFormat="false" ht="15" hidden="false" customHeight="false" outlineLevel="0" collapsed="false">
      <c r="A57" s="17" t="s">
        <v>306</v>
      </c>
      <c r="B57" s="18" t="s">
        <v>307</v>
      </c>
      <c r="C57" s="18" t="s">
        <v>280</v>
      </c>
      <c r="D57" s="15" t="s">
        <v>60</v>
      </c>
      <c r="E57" s="18" t="s">
        <v>61</v>
      </c>
      <c r="F57" s="18" t="s">
        <v>62</v>
      </c>
      <c r="G57" s="18" t="s">
        <v>62</v>
      </c>
      <c r="H57" s="19" t="s">
        <v>63</v>
      </c>
      <c r="I57" s="19" t="s">
        <v>64</v>
      </c>
      <c r="J57" s="18" t="s">
        <v>74</v>
      </c>
      <c r="K57" s="18" t="s">
        <v>308</v>
      </c>
      <c r="L57" s="20" t="s">
        <v>85</v>
      </c>
      <c r="M57" s="18" t="s">
        <v>309</v>
      </c>
    </row>
    <row r="58" customFormat="false" ht="15" hidden="false" customHeight="false" outlineLevel="0" collapsed="false">
      <c r="A58" s="13" t="s">
        <v>310</v>
      </c>
      <c r="B58" s="14" t="s">
        <v>311</v>
      </c>
      <c r="C58" s="14" t="s">
        <v>280</v>
      </c>
      <c r="D58" s="15" t="s">
        <v>60</v>
      </c>
      <c r="E58" s="14" t="s">
        <v>11</v>
      </c>
      <c r="F58" s="14" t="s">
        <v>62</v>
      </c>
      <c r="G58" s="14" t="s">
        <v>312</v>
      </c>
      <c r="H58" s="15" t="s">
        <v>63</v>
      </c>
      <c r="I58" s="15" t="s">
        <v>64</v>
      </c>
      <c r="J58" s="14" t="s">
        <v>74</v>
      </c>
      <c r="K58" s="14" t="s">
        <v>308</v>
      </c>
      <c r="L58" s="20" t="s">
        <v>85</v>
      </c>
      <c r="M58" s="14" t="s">
        <v>313</v>
      </c>
    </row>
    <row r="59" customFormat="false" ht="22.35" hidden="false" customHeight="false" outlineLevel="0" collapsed="false">
      <c r="A59" s="17" t="s">
        <v>314</v>
      </c>
      <c r="B59" s="18" t="s">
        <v>315</v>
      </c>
      <c r="C59" s="18" t="s">
        <v>280</v>
      </c>
      <c r="D59" s="15" t="s">
        <v>60</v>
      </c>
      <c r="E59" s="18" t="s">
        <v>61</v>
      </c>
      <c r="F59" s="18" t="s">
        <v>62</v>
      </c>
      <c r="G59" s="18" t="s">
        <v>62</v>
      </c>
      <c r="H59" s="19" t="s">
        <v>95</v>
      </c>
      <c r="I59" s="19" t="s">
        <v>203</v>
      </c>
      <c r="J59" s="18" t="s">
        <v>316</v>
      </c>
      <c r="K59" s="18" t="s">
        <v>283</v>
      </c>
      <c r="L59" s="20" t="s">
        <v>85</v>
      </c>
      <c r="M59" s="18" t="s">
        <v>317</v>
      </c>
    </row>
    <row r="60" customFormat="false" ht="15" hidden="false" customHeight="false" outlineLevel="0" collapsed="false">
      <c r="A60" s="13" t="s">
        <v>318</v>
      </c>
      <c r="B60" s="14" t="s">
        <v>319</v>
      </c>
      <c r="C60" s="14" t="s">
        <v>280</v>
      </c>
      <c r="D60" s="15" t="s">
        <v>60</v>
      </c>
      <c r="E60" s="14" t="s">
        <v>61</v>
      </c>
      <c r="F60" s="14" t="s">
        <v>62</v>
      </c>
      <c r="G60" s="14" t="s">
        <v>62</v>
      </c>
      <c r="H60" s="15" t="s">
        <v>63</v>
      </c>
      <c r="I60" s="15" t="s">
        <v>320</v>
      </c>
      <c r="J60" s="14" t="s">
        <v>74</v>
      </c>
      <c r="K60" s="14" t="s">
        <v>283</v>
      </c>
      <c r="L60" s="16" t="s">
        <v>67</v>
      </c>
      <c r="M60" s="14" t="s">
        <v>321</v>
      </c>
    </row>
    <row r="61" customFormat="false" ht="15" hidden="false" customHeight="false" outlineLevel="0" collapsed="false">
      <c r="A61" s="17" t="s">
        <v>322</v>
      </c>
      <c r="B61" s="18" t="s">
        <v>323</v>
      </c>
      <c r="C61" s="18" t="s">
        <v>280</v>
      </c>
      <c r="D61" s="15" t="s">
        <v>60</v>
      </c>
      <c r="E61" s="18" t="s">
        <v>61</v>
      </c>
      <c r="F61" s="18" t="s">
        <v>62</v>
      </c>
      <c r="G61" s="18" t="s">
        <v>62</v>
      </c>
      <c r="H61" s="19" t="s">
        <v>63</v>
      </c>
      <c r="I61" s="19" t="s">
        <v>64</v>
      </c>
      <c r="J61" s="18" t="s">
        <v>74</v>
      </c>
      <c r="K61" s="18" t="s">
        <v>283</v>
      </c>
      <c r="L61" s="20" t="s">
        <v>85</v>
      </c>
      <c r="M61" s="18" t="s">
        <v>324</v>
      </c>
    </row>
    <row r="62" customFormat="false" ht="15" hidden="false" customHeight="false" outlineLevel="0" collapsed="false">
      <c r="A62" s="13" t="s">
        <v>325</v>
      </c>
      <c r="B62" s="14" t="s">
        <v>326</v>
      </c>
      <c r="C62" s="14" t="s">
        <v>280</v>
      </c>
      <c r="D62" s="15" t="s">
        <v>60</v>
      </c>
      <c r="E62" s="14" t="s">
        <v>61</v>
      </c>
      <c r="F62" s="14" t="s">
        <v>62</v>
      </c>
      <c r="G62" s="14" t="s">
        <v>62</v>
      </c>
      <c r="H62" s="15" t="s">
        <v>63</v>
      </c>
      <c r="I62" s="15" t="s">
        <v>265</v>
      </c>
      <c r="J62" s="14" t="s">
        <v>74</v>
      </c>
      <c r="K62" s="14" t="s">
        <v>308</v>
      </c>
      <c r="L62" s="20" t="s">
        <v>85</v>
      </c>
      <c r="M62" s="14" t="s">
        <v>327</v>
      </c>
    </row>
    <row r="63" customFormat="false" ht="22.35" hidden="false" customHeight="false" outlineLevel="0" collapsed="false">
      <c r="A63" s="17" t="s">
        <v>328</v>
      </c>
      <c r="B63" s="18" t="s">
        <v>329</v>
      </c>
      <c r="C63" s="18" t="s">
        <v>330</v>
      </c>
      <c r="D63" s="15" t="s">
        <v>60</v>
      </c>
      <c r="E63" s="18" t="s">
        <v>61</v>
      </c>
      <c r="F63" s="18" t="s">
        <v>62</v>
      </c>
      <c r="G63" s="18" t="s">
        <v>62</v>
      </c>
      <c r="H63" s="19" t="s">
        <v>63</v>
      </c>
      <c r="I63" s="19" t="s">
        <v>64</v>
      </c>
      <c r="J63" s="18" t="s">
        <v>74</v>
      </c>
      <c r="K63" s="18" t="s">
        <v>125</v>
      </c>
      <c r="L63" s="20" t="s">
        <v>85</v>
      </c>
      <c r="M63" s="18" t="s">
        <v>331</v>
      </c>
    </row>
    <row r="64" customFormat="false" ht="15" hidden="false" customHeight="false" outlineLevel="0" collapsed="false">
      <c r="A64" s="13" t="s">
        <v>332</v>
      </c>
      <c r="B64" s="14" t="s">
        <v>333</v>
      </c>
      <c r="C64" s="14" t="s">
        <v>330</v>
      </c>
      <c r="D64" s="15" t="s">
        <v>60</v>
      </c>
      <c r="E64" s="14" t="s">
        <v>136</v>
      </c>
      <c r="F64" s="14" t="s">
        <v>137</v>
      </c>
      <c r="G64" s="14" t="s">
        <v>62</v>
      </c>
      <c r="H64" s="15" t="s">
        <v>63</v>
      </c>
      <c r="I64" s="15" t="s">
        <v>64</v>
      </c>
      <c r="J64" s="14" t="s">
        <v>74</v>
      </c>
      <c r="K64" s="14" t="s">
        <v>129</v>
      </c>
      <c r="L64" s="20" t="s">
        <v>85</v>
      </c>
      <c r="M64" s="14" t="s">
        <v>334</v>
      </c>
    </row>
    <row r="65" customFormat="false" ht="15" hidden="false" customHeight="false" outlineLevel="0" collapsed="false">
      <c r="A65" s="17" t="s">
        <v>335</v>
      </c>
      <c r="B65" s="18" t="s">
        <v>336</v>
      </c>
      <c r="C65" s="18" t="s">
        <v>330</v>
      </c>
      <c r="D65" s="15" t="s">
        <v>60</v>
      </c>
      <c r="E65" s="18" t="s">
        <v>61</v>
      </c>
      <c r="F65" s="18" t="s">
        <v>62</v>
      </c>
      <c r="G65" s="18" t="s">
        <v>62</v>
      </c>
      <c r="H65" s="19" t="s">
        <v>63</v>
      </c>
      <c r="I65" s="19" t="s">
        <v>64</v>
      </c>
      <c r="J65" s="18" t="s">
        <v>74</v>
      </c>
      <c r="K65" s="18" t="s">
        <v>129</v>
      </c>
      <c r="L65" s="20" t="s">
        <v>85</v>
      </c>
      <c r="M65" s="18" t="s">
        <v>337</v>
      </c>
    </row>
    <row r="66" customFormat="false" ht="15" hidden="false" customHeight="false" outlineLevel="0" collapsed="false">
      <c r="A66" s="13" t="s">
        <v>338</v>
      </c>
      <c r="B66" s="14" t="s">
        <v>339</v>
      </c>
      <c r="C66" s="14" t="s">
        <v>330</v>
      </c>
      <c r="D66" s="15" t="s">
        <v>60</v>
      </c>
      <c r="E66" s="14" t="s">
        <v>340</v>
      </c>
      <c r="F66" s="14" t="s">
        <v>341</v>
      </c>
      <c r="G66" s="14" t="s">
        <v>62</v>
      </c>
      <c r="H66" s="15" t="s">
        <v>63</v>
      </c>
      <c r="I66" s="15" t="s">
        <v>64</v>
      </c>
      <c r="J66" s="14" t="s">
        <v>74</v>
      </c>
      <c r="K66" s="14" t="s">
        <v>342</v>
      </c>
      <c r="L66" s="20" t="s">
        <v>85</v>
      </c>
      <c r="M66" s="14" t="s">
        <v>343</v>
      </c>
    </row>
    <row r="67" customFormat="false" ht="15" hidden="false" customHeight="false" outlineLevel="0" collapsed="false">
      <c r="A67" s="17" t="s">
        <v>344</v>
      </c>
      <c r="B67" s="18" t="s">
        <v>345</v>
      </c>
      <c r="C67" s="18" t="s">
        <v>330</v>
      </c>
      <c r="D67" s="15" t="s">
        <v>60</v>
      </c>
      <c r="E67" s="18" t="s">
        <v>346</v>
      </c>
      <c r="F67" s="18" t="s">
        <v>274</v>
      </c>
      <c r="G67" s="18" t="s">
        <v>347</v>
      </c>
      <c r="H67" s="19" t="s">
        <v>63</v>
      </c>
      <c r="I67" s="19" t="s">
        <v>64</v>
      </c>
      <c r="J67" s="18" t="s">
        <v>74</v>
      </c>
      <c r="K67" s="18" t="s">
        <v>129</v>
      </c>
      <c r="L67" s="20" t="s">
        <v>85</v>
      </c>
      <c r="M67" s="18" t="s">
        <v>348</v>
      </c>
    </row>
    <row r="68" customFormat="false" ht="22.35" hidden="false" customHeight="false" outlineLevel="0" collapsed="false">
      <c r="A68" s="13" t="s">
        <v>349</v>
      </c>
      <c r="B68" s="14" t="s">
        <v>350</v>
      </c>
      <c r="C68" s="14" t="s">
        <v>330</v>
      </c>
      <c r="D68" s="15" t="s">
        <v>60</v>
      </c>
      <c r="E68" s="14" t="s">
        <v>61</v>
      </c>
      <c r="F68" s="14" t="s">
        <v>62</v>
      </c>
      <c r="G68" s="14" t="s">
        <v>62</v>
      </c>
      <c r="H68" s="15" t="s">
        <v>95</v>
      </c>
      <c r="I68" s="15" t="s">
        <v>203</v>
      </c>
      <c r="J68" s="14" t="s">
        <v>351</v>
      </c>
      <c r="K68" s="14" t="s">
        <v>197</v>
      </c>
      <c r="L68" s="16" t="s">
        <v>67</v>
      </c>
      <c r="M68" s="14" t="s">
        <v>352</v>
      </c>
    </row>
    <row r="69" customFormat="false" ht="32.8" hidden="false" customHeight="false" outlineLevel="0" collapsed="false">
      <c r="A69" s="17" t="s">
        <v>353</v>
      </c>
      <c r="B69" s="18" t="s">
        <v>354</v>
      </c>
      <c r="C69" s="18" t="s">
        <v>330</v>
      </c>
      <c r="D69" s="15" t="s">
        <v>60</v>
      </c>
      <c r="E69" s="18" t="s">
        <v>61</v>
      </c>
      <c r="F69" s="18" t="s">
        <v>62</v>
      </c>
      <c r="G69" s="18" t="s">
        <v>62</v>
      </c>
      <c r="H69" s="19" t="s">
        <v>355</v>
      </c>
      <c r="I69" s="19" t="s">
        <v>64</v>
      </c>
      <c r="J69" s="18" t="s">
        <v>316</v>
      </c>
      <c r="K69" s="18" t="s">
        <v>356</v>
      </c>
      <c r="L69" s="20" t="s">
        <v>85</v>
      </c>
      <c r="M69" s="18" t="s">
        <v>357</v>
      </c>
    </row>
    <row r="70" customFormat="false" ht="15" hidden="false" customHeight="false" outlineLevel="0" collapsed="false">
      <c r="A70" s="13" t="s">
        <v>358</v>
      </c>
      <c r="B70" s="14" t="s">
        <v>359</v>
      </c>
      <c r="C70" s="14" t="s">
        <v>330</v>
      </c>
      <c r="D70" s="15" t="s">
        <v>60</v>
      </c>
      <c r="E70" s="14" t="s">
        <v>11</v>
      </c>
      <c r="F70" s="14" t="s">
        <v>62</v>
      </c>
      <c r="G70" s="14" t="s">
        <v>360</v>
      </c>
      <c r="H70" s="15" t="s">
        <v>63</v>
      </c>
      <c r="I70" s="15" t="s">
        <v>64</v>
      </c>
      <c r="J70" s="14" t="s">
        <v>102</v>
      </c>
      <c r="K70" s="14" t="s">
        <v>97</v>
      </c>
      <c r="L70" s="20" t="s">
        <v>85</v>
      </c>
      <c r="M70" s="14" t="s">
        <v>361</v>
      </c>
    </row>
    <row r="71" customFormat="false" ht="15" hidden="false" customHeight="false" outlineLevel="0" collapsed="false">
      <c r="A71" s="17" t="s">
        <v>362</v>
      </c>
      <c r="B71" s="18" t="s">
        <v>363</v>
      </c>
      <c r="C71" s="18" t="s">
        <v>330</v>
      </c>
      <c r="D71" s="15" t="s">
        <v>60</v>
      </c>
      <c r="E71" s="18" t="s">
        <v>364</v>
      </c>
      <c r="F71" s="18" t="s">
        <v>365</v>
      </c>
      <c r="G71" s="18" t="s">
        <v>62</v>
      </c>
      <c r="H71" s="19" t="s">
        <v>63</v>
      </c>
      <c r="I71" s="19" t="s">
        <v>64</v>
      </c>
      <c r="J71" s="18" t="s">
        <v>74</v>
      </c>
      <c r="K71" s="18" t="s">
        <v>366</v>
      </c>
      <c r="L71" s="16" t="s">
        <v>67</v>
      </c>
      <c r="M71" s="18" t="s">
        <v>367</v>
      </c>
    </row>
    <row r="72" customFormat="false" ht="22.35" hidden="false" customHeight="false" outlineLevel="0" collapsed="false">
      <c r="A72" s="13" t="s">
        <v>368</v>
      </c>
      <c r="B72" s="14" t="s">
        <v>369</v>
      </c>
      <c r="C72" s="14" t="s">
        <v>330</v>
      </c>
      <c r="D72" s="15" t="s">
        <v>60</v>
      </c>
      <c r="E72" s="14" t="s">
        <v>219</v>
      </c>
      <c r="F72" s="14" t="s">
        <v>220</v>
      </c>
      <c r="G72" s="14" t="s">
        <v>370</v>
      </c>
      <c r="H72" s="15" t="s">
        <v>63</v>
      </c>
      <c r="I72" s="15" t="s">
        <v>265</v>
      </c>
      <c r="J72" s="14" t="s">
        <v>74</v>
      </c>
      <c r="K72" s="14" t="s">
        <v>226</v>
      </c>
      <c r="L72" s="16" t="s">
        <v>67</v>
      </c>
      <c r="M72" s="14" t="s">
        <v>371</v>
      </c>
    </row>
    <row r="73" customFormat="false" ht="15" hidden="false" customHeight="false" outlineLevel="0" collapsed="false">
      <c r="A73" s="17" t="s">
        <v>372</v>
      </c>
      <c r="B73" s="18" t="s">
        <v>373</v>
      </c>
      <c r="C73" s="18" t="s">
        <v>330</v>
      </c>
      <c r="D73" s="15" t="s">
        <v>60</v>
      </c>
      <c r="E73" s="18" t="s">
        <v>374</v>
      </c>
      <c r="F73" s="18" t="s">
        <v>375</v>
      </c>
      <c r="G73" s="18" t="s">
        <v>376</v>
      </c>
      <c r="H73" s="19" t="s">
        <v>63</v>
      </c>
      <c r="I73" s="19" t="s">
        <v>265</v>
      </c>
      <c r="J73" s="18" t="s">
        <v>74</v>
      </c>
      <c r="K73" s="18" t="s">
        <v>118</v>
      </c>
      <c r="L73" s="16" t="s">
        <v>67</v>
      </c>
      <c r="M73" s="18" t="s">
        <v>377</v>
      </c>
    </row>
    <row r="74" customFormat="false" ht="22.35" hidden="false" customHeight="false" outlineLevel="0" collapsed="false">
      <c r="A74" s="13" t="s">
        <v>378</v>
      </c>
      <c r="B74" s="14" t="s">
        <v>379</v>
      </c>
      <c r="C74" s="14" t="s">
        <v>330</v>
      </c>
      <c r="D74" s="15" t="s">
        <v>60</v>
      </c>
      <c r="E74" s="14" t="s">
        <v>380</v>
      </c>
      <c r="F74" s="14" t="s">
        <v>381</v>
      </c>
      <c r="G74" s="14" t="s">
        <v>62</v>
      </c>
      <c r="H74" s="15" t="s">
        <v>95</v>
      </c>
      <c r="I74" s="15" t="s">
        <v>265</v>
      </c>
      <c r="J74" s="14" t="s">
        <v>316</v>
      </c>
      <c r="K74" s="14" t="s">
        <v>118</v>
      </c>
      <c r="L74" s="16" t="s">
        <v>67</v>
      </c>
      <c r="M74" s="14" t="s">
        <v>382</v>
      </c>
    </row>
    <row r="75" customFormat="false" ht="15" hidden="false" customHeight="false" outlineLevel="0" collapsed="false">
      <c r="A75" s="17" t="s">
        <v>383</v>
      </c>
      <c r="B75" s="18" t="s">
        <v>384</v>
      </c>
      <c r="C75" s="18" t="s">
        <v>330</v>
      </c>
      <c r="D75" s="15" t="s">
        <v>60</v>
      </c>
      <c r="E75" s="18" t="s">
        <v>385</v>
      </c>
      <c r="F75" s="18" t="s">
        <v>386</v>
      </c>
      <c r="G75" s="18" t="s">
        <v>62</v>
      </c>
      <c r="H75" s="19" t="s">
        <v>173</v>
      </c>
      <c r="I75" s="19" t="s">
        <v>387</v>
      </c>
      <c r="J75" s="18" t="s">
        <v>388</v>
      </c>
      <c r="K75" s="18" t="s">
        <v>197</v>
      </c>
      <c r="L75" s="20" t="s">
        <v>85</v>
      </c>
      <c r="M75" s="18" t="s">
        <v>389</v>
      </c>
    </row>
    <row r="76" customFormat="false" ht="22.35" hidden="false" customHeight="false" outlineLevel="0" collapsed="false">
      <c r="A76" s="13" t="s">
        <v>390</v>
      </c>
      <c r="B76" s="14" t="s">
        <v>391</v>
      </c>
      <c r="C76" s="14" t="s">
        <v>330</v>
      </c>
      <c r="D76" s="15" t="s">
        <v>60</v>
      </c>
      <c r="E76" s="14" t="s">
        <v>194</v>
      </c>
      <c r="F76" s="14" t="s">
        <v>195</v>
      </c>
      <c r="G76" s="14" t="s">
        <v>62</v>
      </c>
      <c r="H76" s="15" t="s">
        <v>63</v>
      </c>
      <c r="I76" s="15" t="s">
        <v>203</v>
      </c>
      <c r="J76" s="14" t="s">
        <v>74</v>
      </c>
      <c r="K76" s="14" t="s">
        <v>392</v>
      </c>
      <c r="L76" s="16" t="s">
        <v>67</v>
      </c>
      <c r="M76" s="14" t="s">
        <v>393</v>
      </c>
    </row>
    <row r="77" customFormat="false" ht="15" hidden="false" customHeight="false" outlineLevel="0" collapsed="false">
      <c r="A77" s="17" t="s">
        <v>394</v>
      </c>
      <c r="B77" s="18" t="s">
        <v>395</v>
      </c>
      <c r="C77" s="18" t="s">
        <v>330</v>
      </c>
      <c r="D77" s="15" t="s">
        <v>60</v>
      </c>
      <c r="E77" s="18" t="s">
        <v>396</v>
      </c>
      <c r="F77" s="18" t="s">
        <v>397</v>
      </c>
      <c r="G77" s="18" t="s">
        <v>398</v>
      </c>
      <c r="H77" s="19" t="s">
        <v>275</v>
      </c>
      <c r="I77" s="19" t="s">
        <v>64</v>
      </c>
      <c r="J77" s="18" t="s">
        <v>276</v>
      </c>
      <c r="K77" s="18" t="s">
        <v>399</v>
      </c>
      <c r="L77" s="16" t="s">
        <v>67</v>
      </c>
      <c r="M77" s="18" t="s">
        <v>400</v>
      </c>
    </row>
    <row r="78" customFormat="false" ht="22.35" hidden="false" customHeight="false" outlineLevel="0" collapsed="false">
      <c r="A78" s="13" t="s">
        <v>401</v>
      </c>
      <c r="B78" s="14" t="s">
        <v>402</v>
      </c>
      <c r="C78" s="14" t="s">
        <v>330</v>
      </c>
      <c r="D78" s="15" t="s">
        <v>60</v>
      </c>
      <c r="E78" s="14" t="s">
        <v>403</v>
      </c>
      <c r="F78" s="14" t="s">
        <v>404</v>
      </c>
      <c r="G78" s="14" t="s">
        <v>62</v>
      </c>
      <c r="H78" s="15" t="s">
        <v>179</v>
      </c>
      <c r="I78" s="15" t="s">
        <v>64</v>
      </c>
      <c r="J78" s="14" t="s">
        <v>180</v>
      </c>
      <c r="K78" s="14" t="s">
        <v>399</v>
      </c>
      <c r="L78" s="16" t="s">
        <v>67</v>
      </c>
      <c r="M78" s="14" t="s">
        <v>405</v>
      </c>
    </row>
    <row r="79" customFormat="false" ht="15" hidden="false" customHeight="false" outlineLevel="0" collapsed="false">
      <c r="A79" s="17" t="s">
        <v>406</v>
      </c>
      <c r="B79" s="18" t="s">
        <v>407</v>
      </c>
      <c r="C79" s="18" t="s">
        <v>330</v>
      </c>
      <c r="D79" s="15" t="s">
        <v>60</v>
      </c>
      <c r="E79" s="18" t="s">
        <v>61</v>
      </c>
      <c r="F79" s="18" t="s">
        <v>62</v>
      </c>
      <c r="G79" s="18" t="s">
        <v>62</v>
      </c>
      <c r="H79" s="19" t="s">
        <v>275</v>
      </c>
      <c r="I79" s="19" t="s">
        <v>408</v>
      </c>
      <c r="J79" s="18" t="s">
        <v>316</v>
      </c>
      <c r="K79" s="18" t="s">
        <v>399</v>
      </c>
      <c r="L79" s="20" t="s">
        <v>85</v>
      </c>
      <c r="M79" s="18" t="s">
        <v>409</v>
      </c>
    </row>
    <row r="80" customFormat="false" ht="22.35" hidden="false" customHeight="false" outlineLevel="0" collapsed="false">
      <c r="A80" s="13" t="s">
        <v>410</v>
      </c>
      <c r="B80" s="14" t="s">
        <v>411</v>
      </c>
      <c r="C80" s="14" t="s">
        <v>330</v>
      </c>
      <c r="D80" s="15" t="s">
        <v>60</v>
      </c>
      <c r="E80" s="14" t="s">
        <v>61</v>
      </c>
      <c r="F80" s="14" t="s">
        <v>62</v>
      </c>
      <c r="G80" s="14" t="s">
        <v>62</v>
      </c>
      <c r="H80" s="15" t="s">
        <v>63</v>
      </c>
      <c r="I80" s="15" t="s">
        <v>64</v>
      </c>
      <c r="J80" s="14" t="s">
        <v>74</v>
      </c>
      <c r="K80" s="14" t="s">
        <v>412</v>
      </c>
      <c r="L80" s="20" t="s">
        <v>85</v>
      </c>
      <c r="M80" s="14" t="s">
        <v>413</v>
      </c>
    </row>
    <row r="81" customFormat="false" ht="22.35" hidden="false" customHeight="false" outlineLevel="0" collapsed="false">
      <c r="A81" s="17" t="s">
        <v>414</v>
      </c>
      <c r="B81" s="18" t="s">
        <v>415</v>
      </c>
      <c r="C81" s="18" t="s">
        <v>330</v>
      </c>
      <c r="D81" s="15" t="s">
        <v>60</v>
      </c>
      <c r="E81" s="18" t="s">
        <v>416</v>
      </c>
      <c r="F81" s="18" t="s">
        <v>417</v>
      </c>
      <c r="G81" s="18" t="s">
        <v>62</v>
      </c>
      <c r="H81" s="19" t="s">
        <v>63</v>
      </c>
      <c r="I81" s="19" t="s">
        <v>64</v>
      </c>
      <c r="J81" s="18" t="s">
        <v>74</v>
      </c>
      <c r="K81" s="18" t="s">
        <v>418</v>
      </c>
      <c r="L81" s="16" t="s">
        <v>67</v>
      </c>
      <c r="M81" s="18" t="s">
        <v>419</v>
      </c>
    </row>
    <row r="82" customFormat="false" ht="22.35" hidden="false" customHeight="false" outlineLevel="0" collapsed="false">
      <c r="A82" s="13" t="s">
        <v>420</v>
      </c>
      <c r="B82" s="14" t="s">
        <v>421</v>
      </c>
      <c r="C82" s="14" t="s">
        <v>330</v>
      </c>
      <c r="D82" s="15" t="s">
        <v>60</v>
      </c>
      <c r="E82" s="14" t="s">
        <v>422</v>
      </c>
      <c r="F82" s="14" t="s">
        <v>423</v>
      </c>
      <c r="G82" s="14" t="s">
        <v>62</v>
      </c>
      <c r="H82" s="15" t="s">
        <v>95</v>
      </c>
      <c r="I82" s="15" t="s">
        <v>64</v>
      </c>
      <c r="J82" s="14" t="s">
        <v>316</v>
      </c>
      <c r="K82" s="14" t="s">
        <v>356</v>
      </c>
      <c r="L82" s="20" t="s">
        <v>85</v>
      </c>
      <c r="M82" s="14" t="s">
        <v>424</v>
      </c>
    </row>
    <row r="83" customFormat="false" ht="22.35" hidden="false" customHeight="false" outlineLevel="0" collapsed="false">
      <c r="A83" s="17" t="s">
        <v>425</v>
      </c>
      <c r="B83" s="18" t="s">
        <v>426</v>
      </c>
      <c r="C83" s="18" t="s">
        <v>330</v>
      </c>
      <c r="D83" s="15" t="s">
        <v>60</v>
      </c>
      <c r="E83" s="18" t="s">
        <v>422</v>
      </c>
      <c r="F83" s="18" t="s">
        <v>423</v>
      </c>
      <c r="G83" s="18" t="s">
        <v>62</v>
      </c>
      <c r="H83" s="19" t="s">
        <v>95</v>
      </c>
      <c r="I83" s="19" t="s">
        <v>64</v>
      </c>
      <c r="J83" s="18" t="s">
        <v>316</v>
      </c>
      <c r="K83" s="18" t="s">
        <v>356</v>
      </c>
      <c r="L83" s="20" t="s">
        <v>85</v>
      </c>
      <c r="M83" s="18" t="s">
        <v>427</v>
      </c>
    </row>
    <row r="84" customFormat="false" ht="15" hidden="false" customHeight="false" outlineLevel="0" collapsed="false">
      <c r="A84" s="13" t="s">
        <v>428</v>
      </c>
      <c r="B84" s="14" t="s">
        <v>429</v>
      </c>
      <c r="C84" s="14" t="s">
        <v>330</v>
      </c>
      <c r="D84" s="15" t="s">
        <v>60</v>
      </c>
      <c r="E84" s="14" t="s">
        <v>430</v>
      </c>
      <c r="F84" s="14" t="s">
        <v>431</v>
      </c>
      <c r="G84" s="14" t="s">
        <v>432</v>
      </c>
      <c r="H84" s="15" t="s">
        <v>63</v>
      </c>
      <c r="I84" s="15" t="s">
        <v>64</v>
      </c>
      <c r="J84" s="14" t="s">
        <v>74</v>
      </c>
      <c r="K84" s="14" t="s">
        <v>356</v>
      </c>
      <c r="L84" s="20" t="s">
        <v>85</v>
      </c>
      <c r="M84" s="14" t="s">
        <v>433</v>
      </c>
    </row>
    <row r="85" customFormat="false" ht="15" hidden="false" customHeight="false" outlineLevel="0" collapsed="false">
      <c r="A85" s="17" t="s">
        <v>434</v>
      </c>
      <c r="B85" s="18" t="s">
        <v>435</v>
      </c>
      <c r="C85" s="18" t="s">
        <v>330</v>
      </c>
      <c r="D85" s="15" t="s">
        <v>60</v>
      </c>
      <c r="E85" s="18" t="s">
        <v>436</v>
      </c>
      <c r="F85" s="18" t="s">
        <v>437</v>
      </c>
      <c r="G85" s="18" t="s">
        <v>62</v>
      </c>
      <c r="H85" s="19" t="s">
        <v>63</v>
      </c>
      <c r="I85" s="19" t="s">
        <v>64</v>
      </c>
      <c r="J85" s="18" t="s">
        <v>74</v>
      </c>
      <c r="K85" s="18" t="s">
        <v>356</v>
      </c>
      <c r="L85" s="16" t="s">
        <v>67</v>
      </c>
      <c r="M85" s="18" t="s">
        <v>438</v>
      </c>
    </row>
    <row r="86" customFormat="false" ht="22.35" hidden="false" customHeight="false" outlineLevel="0" collapsed="false">
      <c r="A86" s="13" t="s">
        <v>439</v>
      </c>
      <c r="B86" s="14" t="s">
        <v>440</v>
      </c>
      <c r="C86" s="14" t="s">
        <v>330</v>
      </c>
      <c r="D86" s="15" t="s">
        <v>60</v>
      </c>
      <c r="E86" s="14" t="s">
        <v>441</v>
      </c>
      <c r="F86" s="14" t="s">
        <v>442</v>
      </c>
      <c r="G86" s="14" t="s">
        <v>443</v>
      </c>
      <c r="H86" s="15" t="s">
        <v>63</v>
      </c>
      <c r="I86" s="15" t="s">
        <v>444</v>
      </c>
      <c r="J86" s="14" t="s">
        <v>74</v>
      </c>
      <c r="K86" s="14" t="s">
        <v>366</v>
      </c>
      <c r="L86" s="16" t="s">
        <v>67</v>
      </c>
      <c r="M86" s="14" t="s">
        <v>445</v>
      </c>
    </row>
    <row r="87" customFormat="false" ht="22.35" hidden="false" customHeight="false" outlineLevel="0" collapsed="false">
      <c r="A87" s="17" t="s">
        <v>446</v>
      </c>
      <c r="B87" s="18" t="s">
        <v>447</v>
      </c>
      <c r="C87" s="18" t="s">
        <v>330</v>
      </c>
      <c r="D87" s="15" t="s">
        <v>60</v>
      </c>
      <c r="E87" s="18" t="s">
        <v>448</v>
      </c>
      <c r="F87" s="18" t="s">
        <v>449</v>
      </c>
      <c r="G87" s="18" t="s">
        <v>62</v>
      </c>
      <c r="H87" s="19" t="s">
        <v>63</v>
      </c>
      <c r="I87" s="19" t="s">
        <v>64</v>
      </c>
      <c r="J87" s="18" t="s">
        <v>74</v>
      </c>
      <c r="K87" s="18" t="s">
        <v>450</v>
      </c>
      <c r="L87" s="16" t="s">
        <v>67</v>
      </c>
      <c r="M87" s="18" t="s">
        <v>451</v>
      </c>
    </row>
    <row r="88" customFormat="false" ht="15" hidden="false" customHeight="false" outlineLevel="0" collapsed="false">
      <c r="A88" s="13" t="s">
        <v>452</v>
      </c>
      <c r="B88" s="14" t="s">
        <v>453</v>
      </c>
      <c r="C88" s="14" t="s">
        <v>330</v>
      </c>
      <c r="D88" s="15" t="s">
        <v>60</v>
      </c>
      <c r="E88" s="14" t="s">
        <v>454</v>
      </c>
      <c r="F88" s="14" t="s">
        <v>455</v>
      </c>
      <c r="G88" s="14" t="s">
        <v>62</v>
      </c>
      <c r="H88" s="15" t="s">
        <v>63</v>
      </c>
      <c r="I88" s="15" t="s">
        <v>64</v>
      </c>
      <c r="J88" s="14" t="s">
        <v>74</v>
      </c>
      <c r="K88" s="14" t="s">
        <v>456</v>
      </c>
      <c r="L88" s="16" t="s">
        <v>67</v>
      </c>
      <c r="M88" s="14" t="s">
        <v>457</v>
      </c>
    </row>
    <row r="89" customFormat="false" ht="22.35" hidden="false" customHeight="false" outlineLevel="0" collapsed="false">
      <c r="A89" s="17" t="s">
        <v>458</v>
      </c>
      <c r="B89" s="18" t="s">
        <v>459</v>
      </c>
      <c r="C89" s="18" t="s">
        <v>330</v>
      </c>
      <c r="D89" s="15" t="s">
        <v>60</v>
      </c>
      <c r="E89" s="18" t="s">
        <v>448</v>
      </c>
      <c r="F89" s="18" t="s">
        <v>449</v>
      </c>
      <c r="G89" s="18" t="s">
        <v>62</v>
      </c>
      <c r="H89" s="19" t="s">
        <v>63</v>
      </c>
      <c r="I89" s="19" t="s">
        <v>64</v>
      </c>
      <c r="J89" s="18" t="s">
        <v>74</v>
      </c>
      <c r="K89" s="18" t="s">
        <v>450</v>
      </c>
      <c r="L89" s="16" t="s">
        <v>67</v>
      </c>
      <c r="M89" s="18" t="s">
        <v>460</v>
      </c>
    </row>
    <row r="90" customFormat="false" ht="15" hidden="false" customHeight="false" outlineLevel="0" collapsed="false">
      <c r="A90" s="13" t="s">
        <v>461</v>
      </c>
      <c r="B90" s="14" t="s">
        <v>462</v>
      </c>
      <c r="C90" s="14" t="s">
        <v>330</v>
      </c>
      <c r="D90" s="15" t="s">
        <v>60</v>
      </c>
      <c r="E90" s="14" t="s">
        <v>463</v>
      </c>
      <c r="F90" s="14" t="s">
        <v>464</v>
      </c>
      <c r="G90" s="14" t="s">
        <v>62</v>
      </c>
      <c r="H90" s="15" t="s">
        <v>63</v>
      </c>
      <c r="I90" s="15" t="s">
        <v>64</v>
      </c>
      <c r="J90" s="14" t="s">
        <v>74</v>
      </c>
      <c r="K90" s="14" t="s">
        <v>456</v>
      </c>
      <c r="L90" s="20" t="s">
        <v>85</v>
      </c>
      <c r="M90" s="14" t="s">
        <v>465</v>
      </c>
    </row>
    <row r="91" customFormat="false" ht="22.35" hidden="false" customHeight="false" outlineLevel="0" collapsed="false">
      <c r="A91" s="17" t="s">
        <v>466</v>
      </c>
      <c r="B91" s="18" t="s">
        <v>467</v>
      </c>
      <c r="C91" s="18" t="s">
        <v>330</v>
      </c>
      <c r="D91" s="15" t="s">
        <v>60</v>
      </c>
      <c r="E91" s="18" t="s">
        <v>463</v>
      </c>
      <c r="F91" s="18" t="s">
        <v>464</v>
      </c>
      <c r="G91" s="18" t="s">
        <v>62</v>
      </c>
      <c r="H91" s="19" t="s">
        <v>63</v>
      </c>
      <c r="I91" s="19" t="s">
        <v>64</v>
      </c>
      <c r="J91" s="18" t="s">
        <v>65</v>
      </c>
      <c r="K91" s="18" t="s">
        <v>456</v>
      </c>
      <c r="L91" s="20" t="s">
        <v>85</v>
      </c>
      <c r="M91" s="18" t="s">
        <v>468</v>
      </c>
    </row>
    <row r="92" customFormat="false" ht="43.25" hidden="false" customHeight="false" outlineLevel="0" collapsed="false">
      <c r="A92" s="13" t="s">
        <v>469</v>
      </c>
      <c r="B92" s="14" t="s">
        <v>470</v>
      </c>
      <c r="C92" s="14" t="s">
        <v>330</v>
      </c>
      <c r="D92" s="22" t="s">
        <v>471</v>
      </c>
      <c r="E92" s="14" t="s">
        <v>472</v>
      </c>
      <c r="F92" s="14" t="s">
        <v>62</v>
      </c>
      <c r="G92" s="14" t="s">
        <v>62</v>
      </c>
      <c r="H92" s="15" t="s">
        <v>275</v>
      </c>
      <c r="I92" s="15" t="s">
        <v>64</v>
      </c>
      <c r="J92" s="14" t="s">
        <v>351</v>
      </c>
      <c r="K92" s="14" t="s">
        <v>473</v>
      </c>
      <c r="L92" s="23" t="s">
        <v>474</v>
      </c>
      <c r="M92" s="14" t="s">
        <v>475</v>
      </c>
    </row>
    <row r="93" customFormat="false" ht="22.35" hidden="false" customHeight="false" outlineLevel="0" collapsed="false">
      <c r="A93" s="17" t="s">
        <v>476</v>
      </c>
      <c r="B93" s="18" t="s">
        <v>477</v>
      </c>
      <c r="C93" s="18" t="s">
        <v>330</v>
      </c>
      <c r="D93" s="15" t="s">
        <v>60</v>
      </c>
      <c r="E93" s="18" t="s">
        <v>478</v>
      </c>
      <c r="F93" s="18" t="s">
        <v>479</v>
      </c>
      <c r="G93" s="18" t="s">
        <v>62</v>
      </c>
      <c r="H93" s="19" t="s">
        <v>63</v>
      </c>
      <c r="I93" s="19" t="s">
        <v>64</v>
      </c>
      <c r="J93" s="18" t="s">
        <v>74</v>
      </c>
      <c r="K93" s="18" t="s">
        <v>456</v>
      </c>
      <c r="L93" s="20" t="s">
        <v>85</v>
      </c>
      <c r="M93" s="18" t="s">
        <v>480</v>
      </c>
    </row>
    <row r="94" customFormat="false" ht="22.35" hidden="false" customHeight="false" outlineLevel="0" collapsed="false">
      <c r="A94" s="13" t="s">
        <v>481</v>
      </c>
      <c r="B94" s="14" t="s">
        <v>482</v>
      </c>
      <c r="C94" s="14" t="s">
        <v>330</v>
      </c>
      <c r="D94" s="15" t="s">
        <v>60</v>
      </c>
      <c r="E94" s="14" t="s">
        <v>483</v>
      </c>
      <c r="F94" s="14" t="s">
        <v>484</v>
      </c>
      <c r="G94" s="14" t="s">
        <v>62</v>
      </c>
      <c r="H94" s="15" t="s">
        <v>63</v>
      </c>
      <c r="I94" s="15" t="s">
        <v>64</v>
      </c>
      <c r="J94" s="14" t="s">
        <v>74</v>
      </c>
      <c r="K94" s="14" t="s">
        <v>485</v>
      </c>
      <c r="L94" s="16" t="s">
        <v>67</v>
      </c>
      <c r="M94" s="14" t="s">
        <v>486</v>
      </c>
    </row>
    <row r="95" customFormat="false" ht="15" hidden="false" customHeight="false" outlineLevel="0" collapsed="false">
      <c r="A95" s="17" t="s">
        <v>487</v>
      </c>
      <c r="B95" s="18" t="s">
        <v>488</v>
      </c>
      <c r="C95" s="18" t="s">
        <v>330</v>
      </c>
      <c r="D95" s="15" t="s">
        <v>60</v>
      </c>
      <c r="E95" s="18" t="s">
        <v>489</v>
      </c>
      <c r="F95" s="18" t="s">
        <v>375</v>
      </c>
      <c r="G95" s="18" t="s">
        <v>62</v>
      </c>
      <c r="H95" s="19" t="s">
        <v>63</v>
      </c>
      <c r="I95" s="19" t="s">
        <v>64</v>
      </c>
      <c r="J95" s="18" t="s">
        <v>74</v>
      </c>
      <c r="K95" s="18" t="s">
        <v>118</v>
      </c>
      <c r="L95" s="16" t="s">
        <v>67</v>
      </c>
      <c r="M95" s="18" t="s">
        <v>490</v>
      </c>
    </row>
    <row r="96" customFormat="false" ht="22.35" hidden="false" customHeight="false" outlineLevel="0" collapsed="false">
      <c r="A96" s="13" t="s">
        <v>491</v>
      </c>
      <c r="B96" s="14" t="s">
        <v>492</v>
      </c>
      <c r="C96" s="14" t="s">
        <v>330</v>
      </c>
      <c r="D96" s="15" t="s">
        <v>60</v>
      </c>
      <c r="E96" s="14" t="s">
        <v>61</v>
      </c>
      <c r="F96" s="14" t="s">
        <v>62</v>
      </c>
      <c r="G96" s="14" t="s">
        <v>62</v>
      </c>
      <c r="H96" s="15" t="s">
        <v>63</v>
      </c>
      <c r="I96" s="15" t="s">
        <v>64</v>
      </c>
      <c r="J96" s="14" t="s">
        <v>74</v>
      </c>
      <c r="K96" s="14" t="s">
        <v>230</v>
      </c>
      <c r="L96" s="21" t="s">
        <v>98</v>
      </c>
      <c r="M96" s="14" t="s">
        <v>493</v>
      </c>
    </row>
  </sheetData>
  <autoFilter ref="A3:M96"/>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4" min="3" style="0" width="24"/>
  </cols>
  <sheetData>
    <row r="1" customFormat="false" ht="18.55" hidden="false" customHeight="false" outlineLevel="0" collapsed="false">
      <c r="A1" s="12" t="s">
        <v>494</v>
      </c>
      <c r="B1" s="12"/>
      <c r="C1" s="12"/>
      <c r="D1" s="12"/>
    </row>
    <row r="3" customFormat="false" ht="15" hidden="false" customHeight="false" outlineLevel="0" collapsed="false">
      <c r="A3" s="6" t="s">
        <v>495</v>
      </c>
      <c r="B3" s="6"/>
      <c r="C3" s="6"/>
    </row>
    <row r="4" customFormat="false" ht="15" hidden="false" customHeight="false" outlineLevel="0" collapsed="false">
      <c r="A4" s="24" t="s">
        <v>496</v>
      </c>
      <c r="B4" s="25" t="n">
        <f aca="false">COUNTA('Statement of Applicability'!$A$4:$A$96)</f>
        <v>93</v>
      </c>
    </row>
    <row r="5" customFormat="false" ht="15" hidden="false" customHeight="false" outlineLevel="0" collapsed="false">
      <c r="A5" s="24" t="s">
        <v>47</v>
      </c>
      <c r="B5" s="25" t="n">
        <f aca="false">COUNTIF('Statement of Applicability'!$D$4:$D$96,"Yes")</f>
        <v>92</v>
      </c>
    </row>
    <row r="6" customFormat="false" ht="15" hidden="false" customHeight="false" outlineLevel="0" collapsed="false">
      <c r="A6" s="24" t="s">
        <v>497</v>
      </c>
      <c r="B6" s="25" t="n">
        <f aca="false">COUNTIF('Statement of Applicability'!$D$4:$D$96,"No")</f>
        <v>1</v>
      </c>
    </row>
    <row r="7" customFormat="false" ht="15" hidden="false" customHeight="false" outlineLevel="0" collapsed="false">
      <c r="A7" s="24" t="s">
        <v>85</v>
      </c>
      <c r="B7" s="25" t="n">
        <f aca="false">COUNTIF('Statement of Applicability'!$L$4:$L$96,"Implemented")</f>
        <v>46</v>
      </c>
    </row>
    <row r="8" customFormat="false" ht="15" hidden="false" customHeight="false" outlineLevel="0" collapsed="false">
      <c r="A8" s="24" t="s">
        <v>67</v>
      </c>
      <c r="B8" s="25" t="n">
        <f aca="false">COUNTIF('Statement of Applicability'!$L$4:$L$96,"Partially implemented")</f>
        <v>43</v>
      </c>
    </row>
    <row r="9" customFormat="false" ht="15" hidden="false" customHeight="false" outlineLevel="0" collapsed="false">
      <c r="A9" s="24" t="s">
        <v>98</v>
      </c>
      <c r="B9" s="25" t="n">
        <f aca="false">COUNTIF('Statement of Applicability'!$L$4:$L$96,"Not implemented")</f>
        <v>3</v>
      </c>
    </row>
    <row r="10" customFormat="false" ht="15" hidden="false" customHeight="false" outlineLevel="0" collapsed="false">
      <c r="A10" s="24" t="s">
        <v>498</v>
      </c>
      <c r="B10" s="25" t="n">
        <f aca="false">COUNTIF('Statement of Applicability'!$F$4:$F$96,"R-*")</f>
        <v>45</v>
      </c>
    </row>
    <row r="11" customFormat="false" ht="15" hidden="false" customHeight="false" outlineLevel="0" collapsed="false">
      <c r="A11" s="24" t="s">
        <v>499</v>
      </c>
      <c r="B11" s="25" t="n">
        <f aca="false">COUNTIF('Statement of Applicability'!$G$4:$G$96,"?*")-COUNTIF('Statement of Applicability'!$G$4:$G$96,"—")</f>
        <v>18</v>
      </c>
    </row>
    <row r="14" customFormat="false" ht="15" hidden="false" customHeight="false" outlineLevel="0" collapsed="false">
      <c r="A14" s="6" t="s">
        <v>500</v>
      </c>
      <c r="B14" s="6"/>
      <c r="C14" s="6"/>
    </row>
    <row r="15" customFormat="false" ht="15" hidden="false" customHeight="false" outlineLevel="0" collapsed="false">
      <c r="A15" s="24" t="s">
        <v>501</v>
      </c>
      <c r="B15" s="25" t="n">
        <f aca="false">COUNTIF('Statement of Applicability'!$H$4:$H$96,"*Preventive*")</f>
        <v>81</v>
      </c>
    </row>
    <row r="16" customFormat="false" ht="15" hidden="false" customHeight="false" outlineLevel="0" collapsed="false">
      <c r="A16" s="24" t="s">
        <v>502</v>
      </c>
      <c r="B16" s="25" t="n">
        <f aca="false">COUNTIF('Statement of Applicability'!$H$4:$H$96,"*Detective*")</f>
        <v>17</v>
      </c>
    </row>
    <row r="17" customFormat="false" ht="15" hidden="false" customHeight="false" outlineLevel="0" collapsed="false">
      <c r="A17" s="24" t="s">
        <v>503</v>
      </c>
      <c r="B17" s="25" t="n">
        <f aca="false">COUNTIF('Statement of Applicability'!$H$4:$H$96,"*Corrective*")</f>
        <v>14</v>
      </c>
    </row>
    <row r="20" customFormat="false" ht="15" hidden="false" customHeight="true" outlineLevel="0" collapsed="false">
      <c r="A20" s="26" t="s">
        <v>504</v>
      </c>
      <c r="B20" s="26"/>
      <c r="C20" s="26"/>
      <c r="D20" s="26"/>
    </row>
    <row r="21" customFormat="false" ht="15" hidden="false" customHeight="false" outlineLevel="0" collapsed="false">
      <c r="A21" s="26"/>
      <c r="B21" s="26"/>
      <c r="C21" s="26"/>
      <c r="D21" s="26"/>
    </row>
    <row r="22" customFormat="false" ht="15" hidden="false" customHeight="false" outlineLevel="0" collapsed="false">
      <c r="A22" s="26"/>
      <c r="B22" s="26"/>
      <c r="C22" s="26"/>
      <c r="D22" s="26"/>
    </row>
    <row r="23" customFormat="false" ht="15" hidden="false" customHeight="false" outlineLevel="0" collapsed="false">
      <c r="A23" s="26"/>
      <c r="B23" s="26"/>
      <c r="C23" s="26"/>
      <c r="D23" s="26"/>
    </row>
    <row r="24" customFormat="false" ht="15" hidden="false" customHeight="false" outlineLevel="0" collapsed="false">
      <c r="A24" s="26"/>
      <c r="B24" s="26"/>
      <c r="C24" s="26"/>
      <c r="D24" s="26"/>
    </row>
  </sheetData>
  <mergeCells count="4">
    <mergeCell ref="A1:D1"/>
    <mergeCell ref="A3:C3"/>
    <mergeCell ref="A14:C14"/>
    <mergeCell ref="A20: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2026-09-10T00:58:12Z</dcterms:created>
  <dc:creator>openpyxl</dc:creator>
  <dc:description/>
  <dc:language>en-US</dc:language>
  <cp:lastModifiedBy/>
  <dcterms:modified xsi:type="dcterms:W3CDTF">2026-09-10T00:58:12Z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