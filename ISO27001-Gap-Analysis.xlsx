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Method" sheetId="1" state="visible" r:id="rId3"/>
    <sheet name="Summary" sheetId="2" state="visible" r:id="rId4"/>
    <sheet name="Annex A Register" sheetId="3" state="visible" r:id="rId5"/>
    <sheet name="Clause Gaps" sheetId="4" state="visible" r:id="rId6"/>
    <sheet name="Remediation Plan" sheetId="5" state="visible" r:id="rId7"/>
  </sheets>
  <definedNames>
    <definedName function="false" hidden="true" localSheetId="2" name="_xlnm._FilterDatabase" vbProcedure="false">'Annex A Register'!$A$3:$R$96</definedName>
    <definedName function="false" hidden="true" localSheetId="3" name="_xlnm._FilterDatabase" vbProcedure="false">'Clause Gaps'!$A$3:$M$28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<sst xmlns="http://schemas.openxmlformats.org/spreadsheetml/2006/main" count="2163" uniqueCount="815">
  <si>
    <t xml:space="preserve">ISO/IEC 27001:2022 Gap Analysis</t>
  </si>
  <si>
    <t xml:space="preserve">Aldridge Financial Technologies  |  AFT-ISMS-GAP-01  |  Version 2.0  |  9 September 2026  |  Classification: Confidential</t>
  </si>
  <si>
    <t xml:space="preserve">ENGAGEMENT</t>
  </si>
  <si>
    <t xml:space="preserve">Assessed entity</t>
  </si>
  <si>
    <t xml:space="preserve">Aldridge Financial Technologies, Inc. and Aldridge Financial Technologies (UK) Ltd</t>
  </si>
  <si>
    <t xml:space="preserve">Standard</t>
  </si>
  <si>
    <t xml:space="preserve">ISO/IEC 27001:2022, including Annex A (93 controls) and management system clauses 4 to 10</t>
  </si>
  <si>
    <t xml:space="preserve">Assessment date</t>
  </si>
  <si>
    <t xml:space="preserve">September 2026</t>
  </si>
  <si>
    <t xml:space="preserve">Assessed by</t>
  </si>
  <si>
    <t xml:space="preserve">Security Governance (Chidi Eze), reviewed by the Chief Information Security Officer</t>
  </si>
  <si>
    <t xml:space="preserve">Certification target</t>
  </si>
  <si>
    <t xml:space="preserve">Stage 1 audit Q2 2027</t>
  </si>
  <si>
    <t xml:space="preserve">Basis of assessment</t>
  </si>
  <si>
    <t xml:space="preserve">Document review, control walkthroughs, system inspection and interview. No independent testing of operating effectiveness was performed; this is a gap analysis, not an audit.</t>
  </si>
  <si>
    <t xml:space="preserve">Source of record</t>
  </si>
  <si>
    <t xml:space="preserve">AFT-CTX-01 Organisation Context Pack v1.0</t>
  </si>
  <si>
    <t xml:space="preserve">SCOPE STATEMENT (DRAFT, NOT YET APPROVED)</t>
  </si>
  <si>
    <t xml:space="preserve">The information security management system supporting the design, development, operation and support of the Aldridge Pay, Aldridge Credit and Aldridge Ledger platforms, and the corporate functions that support them, delivered from AWS regions us-east-1, us-west-2 and eu-west-2 and from the company's offices in Austin, Texas and London, United Kingdom.</t>
  </si>
  <si>
    <t xml:space="preserve">IMPLEMENTATION STATUS SCALE</t>
  </si>
  <si>
    <t xml:space="preserve">Implemented</t>
  </si>
  <si>
    <t xml:space="preserve">Control is designed appropriately, operating, and evidenced.</t>
  </si>
  <si>
    <t xml:space="preserve">Partially implemented</t>
  </si>
  <si>
    <t xml:space="preserve">Control exists but has a design or operating deficiency, or lacks evidence.</t>
  </si>
  <si>
    <t xml:space="preserve">Not implemented</t>
  </si>
  <si>
    <t xml:space="preserve">Control is absent or exists only as intent.</t>
  </si>
  <si>
    <t xml:space="preserve">Not applicable</t>
  </si>
  <si>
    <t xml:space="preserve">Control does not apply. Justification required in the Statement of Applicability.</t>
  </si>
  <si>
    <t xml:space="preserve">MATURITY SCALE</t>
  </si>
  <si>
    <t xml:space="preserve">0 — Non-existent</t>
  </si>
  <si>
    <t xml:space="preserve">No recognisable activity.</t>
  </si>
  <si>
    <t xml:space="preserve">1 — Initial</t>
  </si>
  <si>
    <t xml:space="preserve">Ad hoc, dependent on individuals, undocumented.</t>
  </si>
  <si>
    <t xml:space="preserve">2 — Repeatable</t>
  </si>
  <si>
    <t xml:space="preserve">Consistent in practice but not formally defined.</t>
  </si>
  <si>
    <t xml:space="preserve">3 — Defined</t>
  </si>
  <si>
    <t xml:space="preserve">Documented, communicated, and performed consistently.</t>
  </si>
  <si>
    <t xml:space="preserve">4 — Managed</t>
  </si>
  <si>
    <t xml:space="preserve">Measured, monitored, and reported with metrics.</t>
  </si>
  <si>
    <t xml:space="preserve">5 — Optimised</t>
  </si>
  <si>
    <t xml:space="preserve">Continuously improved against measured outcomes.</t>
  </si>
  <si>
    <t xml:space="preserve">Certification threshold</t>
  </si>
  <si>
    <t xml:space="preserve">Maturity 3 is the minimum for a control to be certifiable. A gap is raised for any applicable control below 3.</t>
  </si>
  <si>
    <t xml:space="preserve">GAP PRIORITY</t>
  </si>
  <si>
    <t xml:space="preserve">P1</t>
  </si>
  <si>
    <t xml:space="preserve">Prerequisite for audit readiness — the ISMS cannot be assessed without it. Target 31 January 2027.</t>
  </si>
  <si>
    <t xml:space="preserve">P2</t>
  </si>
  <si>
    <t xml:space="preserve">Would generate a major nonconformity at Stage 2. Target 31 March 2027.</t>
  </si>
  <si>
    <t xml:space="preserve">P3</t>
  </si>
  <si>
    <t xml:space="preserve">Would generate a minor nonconformity or an observation. Target 30 June 2027.</t>
  </si>
  <si>
    <t xml:space="preserve">P4</t>
  </si>
  <si>
    <t xml:space="preserve">Improvement opportunity, not certification-blocking. Post-certification.</t>
  </si>
  <si>
    <t xml:space="preserve">IMPORTANT LIMITATION</t>
  </si>
  <si>
    <t xml:space="preserve">Annex A is a set of possible controls, not the certification requirement. Certification is granted against clauses 4 to 10. A company can implement every Annex A control and still fail. The 'Clause Gaps' tab is therefore the more consequential of the two registers and should be read first.</t>
  </si>
  <si>
    <t xml:space="preserve">Assessment Summary</t>
  </si>
  <si>
    <t xml:space="preserve">All figures are formulas driven by the 'Annex A Register' and 'Clause Gaps' tabs. Edit those tabs and these update.</t>
  </si>
  <si>
    <t xml:space="preserve">ANNEX A — IMPLEMENTATION STATUS</t>
  </si>
  <si>
    <t xml:space="preserve">Status</t>
  </si>
  <si>
    <t xml:space="preserve">Count</t>
  </si>
  <si>
    <t xml:space="preserve">% of applicable</t>
  </si>
  <si>
    <t xml:space="preserve">Total controls</t>
  </si>
  <si>
    <t xml:space="preserve">Applicable controls</t>
  </si>
  <si>
    <t xml:space="preserve">Controls with a gap</t>
  </si>
  <si>
    <t xml:space="preserve">Conformance rate (applicable at maturity 3+)</t>
  </si>
  <si>
    <t xml:space="preserve">ANNEX A — GAPS BY THEME</t>
  </si>
  <si>
    <t xml:space="preserve">Theme</t>
  </si>
  <si>
    <t xml:space="preserve">Controls</t>
  </si>
  <si>
    <t xml:space="preserve">Gaps</t>
  </si>
  <si>
    <t xml:space="preserve">Gap rate</t>
  </si>
  <si>
    <t xml:space="preserve">Organisational</t>
  </si>
  <si>
    <t xml:space="preserve">People</t>
  </si>
  <si>
    <t xml:space="preserve">Physical</t>
  </si>
  <si>
    <t xml:space="preserve">Technological</t>
  </si>
  <si>
    <t xml:space="preserve">GAPS BY PRIORITY</t>
  </si>
  <si>
    <t xml:space="preserve">Priority</t>
  </si>
  <si>
    <t xml:space="preserve">Annex A gaps</t>
  </si>
  <si>
    <t xml:space="preserve">Clause gaps</t>
  </si>
  <si>
    <t xml:space="preserve">Total</t>
  </si>
  <si>
    <t xml:space="preserve">MANAGEMENT SYSTEM CLAUSES 4–10</t>
  </si>
  <si>
    <t xml:space="preserve">% of clauses</t>
  </si>
  <si>
    <t xml:space="preserve">Total clause requirements</t>
  </si>
  <si>
    <t xml:space="preserve">READING THE NUMBERS</t>
  </si>
  <si>
    <t xml:space="preserve">The Annex A conformance rate is respectable for a company that has never run an ISMS, and reflects control maturity inherited from PCI DSS and SOC 2. The clause 4-10 position is the opposite and is the real finding: the management system that ISO/IEC 27001 actually certifies does not yet exist. Closing Annex A gaps without building the management system would not produce a certifiable organisation.</t>
  </si>
  <si>
    <t xml:space="preserve">Annex A Control Register — all 93 controls</t>
  </si>
  <si>
    <t xml:space="preserve">Every assessment is supported by the evidence named in column F. Effort is internal person-days; cost is indicative external spend.</t>
  </si>
  <si>
    <t xml:space="preserve">Ref</t>
  </si>
  <si>
    <t xml:space="preserve">Control title</t>
  </si>
  <si>
    <t xml:space="preserve">Applicable</t>
  </si>
  <si>
    <t xml:space="preserve">Current state</t>
  </si>
  <si>
    <t xml:space="preserve">Evidence reviewed</t>
  </si>
  <si>
    <t xml:space="preserve">Design / operating</t>
  </si>
  <si>
    <t xml:space="preserve">Maturity</t>
  </si>
  <si>
    <t xml:space="preserve">Gap description</t>
  </si>
  <si>
    <t xml:space="preserve">Remediation action</t>
  </si>
  <si>
    <t xml:space="preserve">Effort (days)</t>
  </si>
  <si>
    <t xml:space="preserve">External cost (USD)</t>
  </si>
  <si>
    <t xml:space="preserve">Predecessor</t>
  </si>
  <si>
    <t xml:space="preserve">Owner</t>
  </si>
  <si>
    <t xml:space="preserve">Target date</t>
  </si>
  <si>
    <t xml:space="preserve">Ref (CTX)</t>
  </si>
  <si>
    <t xml:space="preserve">A.5.1</t>
  </si>
  <si>
    <t xml:space="preserve">Policies for information security</t>
  </si>
  <si>
    <t xml:space="preserve">Yes</t>
  </si>
  <si>
    <t xml:space="preserve">Four Tier 2 policies issued and current (POL-01 to POL-04). Secure development, cryptography, business continuity and TPRM policies also issued. No Tier 1 apex Information Security Policy exists.</t>
  </si>
  <si>
    <t xml:space="preserve">Policy library index reviewed 2 Sep 2026 (9 documents). No Tier 1 policy located. Interview: Head of Security Governance.</t>
  </si>
  <si>
    <t xml:space="preserve">There is no top-level Information Security Policy establishing the ISMS, management commitment and the policy framework. AFT-ISMS-POL-05 is listed in the document register but has never been written. Policies are not linked to a Statement of Applicability.</t>
  </si>
  <si>
    <t xml:space="preserve">Draft, approve and publish AFT-ISMS-POL-05 Information Security Policy at Tier 1, signed by the CEO. Map every Tier 2 policy and standard to it and to the SoA. Establish an annual policy review calendar.</t>
  </si>
  <si>
    <t xml:space="preserve">—</t>
  </si>
  <si>
    <t xml:space="preserve">Helen Achebe-Ward</t>
  </si>
  <si>
    <t xml:space="preserve">31 Jan 2027</t>
  </si>
  <si>
    <t xml:space="preserve">POL-05</t>
  </si>
  <si>
    <t xml:space="preserve">A.5.2</t>
  </si>
  <si>
    <t xml:space="preserve">Information security roles and responsibilities</t>
  </si>
  <si>
    <t xml:space="preserve">Roles are described within individual policies. Security function is established with named leaders. No consolidated RACI across the ISMS.</t>
  </si>
  <si>
    <t xml:space="preserve">POL-01 to POL-09 role sections reviewed. No consolidated RACI produced on request.</t>
  </si>
  <si>
    <t xml:space="preserve">Responsibilities are distributed across policy documents rather than defined once and maintained. No documented allocation of ISMS-specific responsibilities (risk owner, control owner, ISMS manager).</t>
  </si>
  <si>
    <t xml:space="preserve">Produce a single ISMS roles and responsibilities matrix covering all Annex A control owners and clause responsibilities. Ratify at the Executive Risk Committee and reference it from POL-05.</t>
  </si>
  <si>
    <t xml:space="preserve">5.2</t>
  </si>
  <si>
    <t xml:space="preserve">Chidi Eze</t>
  </si>
  <si>
    <t xml:space="preserve">31 Mar 2027</t>
  </si>
  <si>
    <t xml:space="preserve">A.5.3</t>
  </si>
  <si>
    <t xml:space="preserve">Segregation of duties</t>
  </si>
  <si>
    <t xml:space="preserve">Principle stated in POL-03 section 3. Conflicting access is refused at request stage on reviewer judgement. Change and deployment duties are separated in CI/CD.</t>
  </si>
  <si>
    <t xml:space="preserve">Okta group configuration inspected. No SoD matrix produced on request. Interview: Head of Identity and Access.</t>
  </si>
  <si>
    <t xml:space="preserve">No documented segregation of duties matrix defining which role combinations are conflicting. Detection relies on the approver recognising a conflict rather than on a defined rule set.</t>
  </si>
  <si>
    <t xml:space="preserve">Build a segregation of duties conflict matrix for finance, payments, lending and platform roles. Encode the rules in Okta and the access request workflow so conflicts are blocked, not judged.</t>
  </si>
  <si>
    <t xml:space="preserve">A.5.9</t>
  </si>
  <si>
    <t xml:space="preserve">Ruth Nakamura</t>
  </si>
  <si>
    <t xml:space="preserve">A.5.4</t>
  </si>
  <si>
    <t xml:space="preserve">Management responsibilities</t>
  </si>
  <si>
    <t xml:space="preserve">Executive Risk Committee meets monthly and receives security reporting. Security Steering Group meets fortnightly.</t>
  </si>
  <si>
    <t xml:space="preserve">ERC terms of reference and 6 months of minutes reviewed (Mar-Aug 2026). No ISMS standing item present.</t>
  </si>
  <si>
    <t xml:space="preserve">Management direction is exercised in practice but not documented as an ISMS obligation. No evidence that management requires all personnel to apply information security in accordance with established policies.</t>
  </si>
  <si>
    <t xml:space="preserve">Document management responsibilities in POL-05. Add a standing ISMS agenda item to the ERC with recorded decisions and actions.</t>
  </si>
  <si>
    <t xml:space="preserve">A.5.5</t>
  </si>
  <si>
    <t xml:space="preserve">Contact with authorities</t>
  </si>
  <si>
    <t xml:space="preserve">POL-02 defines the notification matrix and routes for the ICO, FCA, payment brands, acquirer and state regulators. Named contacts held by Legal and the DPO.</t>
  </si>
  <si>
    <t xml:space="preserve">POL-02 s7 notification matrix reviewed. Contact list for ICO, FCA, acquirer inspected, dated Jul 2026.</t>
  </si>
  <si>
    <t xml:space="preserve">Design and operation adequate</t>
  </si>
  <si>
    <t xml:space="preserve">A.5.6</t>
  </si>
  <si>
    <t xml:space="preserve">Contact with special interest groups</t>
  </si>
  <si>
    <t xml:space="preserve">SOC analysts hold personal memberships of FS-ISAC and regional security forums. No organisational membership or defined participation.</t>
  </si>
  <si>
    <t xml:space="preserve">Interview: Head of Security Operations. No organisational membership records produced.</t>
  </si>
  <si>
    <t xml:space="preserve">Participation is individual and informal. If the analysts concerned left, the contact would be lost. No process for disseminating what is learned.</t>
  </si>
  <si>
    <t xml:space="preserve">Take out organisational FS-ISAC membership. Define named representatives and deputies, and a route for intelligence received to reach the SOC and the Security Steering Group.</t>
  </si>
  <si>
    <t xml:space="preserve">Tomas Vidal</t>
  </si>
  <si>
    <t xml:space="preserve">30 Jun 2027</t>
  </si>
  <si>
    <t xml:space="preserve">A.5.7</t>
  </si>
  <si>
    <t xml:space="preserve">Threat intelligence</t>
  </si>
  <si>
    <t xml:space="preserve">The SOC consumes vendor feeds bundled with CrowdStrike and Wiz. No defined intelligence requirements, no strategic or tactical intelligence process, no dissemination.</t>
  </si>
  <si>
    <t xml:space="preserve">Interview: SOC lead analyst. No intelligence requirements document exists. CrowdStrike and Wiz feed configuration inspected.</t>
  </si>
  <si>
    <t xml:space="preserve">Design absent</t>
  </si>
  <si>
    <t xml:space="preserve">Threat intelligence is a by-product of tooling rather than a control. There are no documented intelligence requirements, no assessment of relevance to Aldridge's threat profile, and no linkage into risk assessment or control selection.</t>
  </si>
  <si>
    <t xml:space="preserve">Define priority intelligence requirements based on the payments and lending threat landscape. Formalise collection sources, analysis cadence and dissemination to the SOC, engineering and the Security Steering Group. Feed intelligence into the risk assessment cycle.</t>
  </si>
  <si>
    <t xml:space="preserve">W-05</t>
  </si>
  <si>
    <t xml:space="preserve">A.5.8</t>
  </si>
  <si>
    <t xml:space="preserve">Information security in project management</t>
  </si>
  <si>
    <t xml:space="preserve">Security is engaged on large initiatives by relationship rather than by process. No security gate in the delivery lifecycle.</t>
  </si>
  <si>
    <t xml:space="preserve">Delivery lifecycle checklist reviewed. Sample of 6 projects initiated 2026: security engagement recorded in 2.</t>
  </si>
  <si>
    <t xml:space="preserve">Security involvement depends on whether a team thinks to ask. Smaller projects and product changes proceed without any security consideration being recorded.</t>
  </si>
  <si>
    <t xml:space="preserve">Introduce a mandatory security assessment step at project initiation, sized by risk. Add security sign-off to the delivery lifecycle checklist and record it in Jira.</t>
  </si>
  <si>
    <t xml:space="preserve">Marcus Lindqvist</t>
  </si>
  <si>
    <t xml:space="preserve">Inventory of information and other associated assets</t>
  </si>
  <si>
    <t xml:space="preserve">Infrastructure assets are well inventoried through Wiz and Terraform state. Information assets are catalogued for the CDE and secure data zone. Approximately 40 SaaS applications identified by CASB in August 2026 are not registered.</t>
  </si>
  <si>
    <t xml:space="preserve">Asset register export 1 Sep 2026 (1,247 entries). CASB discovery report Aug 2026 reconciled: 40 applications unmatched.</t>
  </si>
  <si>
    <t xml:space="preserve">Design adequate; operation deficient (inventory not maintained)</t>
  </si>
  <si>
    <t xml:space="preserve">The asset inventory is materially incomplete. Unregistered SaaS applications have no recorded owner, classification, or assessment, which means neither the risk assessment nor the ISMS scope can be relied upon.</t>
  </si>
  <si>
    <t xml:space="preserve">Reconcile the CASB discovery output against the asset register. Assign an owner and classification to every application, or decommission it. Establish monthly CASB-to-register reconciliation as a standing control.</t>
  </si>
  <si>
    <t xml:space="preserve">Claire Bennett</t>
  </si>
  <si>
    <t xml:space="preserve">W-04</t>
  </si>
  <si>
    <t xml:space="preserve">A.5.10</t>
  </si>
  <si>
    <t xml:space="preserve">Acceptable use of information and other associated assets</t>
  </si>
  <si>
    <t xml:space="preserve">POL-01 v2.1 issued and current, covering endpoints, communications, cloud, generative AI and remote working. Acknowledged at onboarding.</t>
  </si>
  <si>
    <t xml:space="preserve">POL-01 v2.1 reviewed. Acknowledgement records sampled, 20 of 20 present.</t>
  </si>
  <si>
    <t xml:space="preserve">A.5.11</t>
  </si>
  <si>
    <t xml:space="preserve">Return of assets</t>
  </si>
  <si>
    <t xml:space="preserve">PRO-03 requires recovery of devices and credentials on or before the final working day. Tracked in the HRIS offboarding workflow.</t>
  </si>
  <si>
    <t xml:space="preserve">PRO-03 reviewed. Sample of 10 leavers Q2 2026: asset recovery evidenced in 10.</t>
  </si>
  <si>
    <t xml:space="preserve">A.5.12</t>
  </si>
  <si>
    <t xml:space="preserve">Classification of information</t>
  </si>
  <si>
    <t xml:space="preserve">POL-04 v2.0 defines four levels with owner accountability and an aggregation rule. Applied consistently in the CDE and secure data zone.</t>
  </si>
  <si>
    <t xml:space="preserve">POL-04 v2.0 reviewed. Data catalogue inspected for CDE and secure data zone.</t>
  </si>
  <si>
    <t xml:space="preserve">A.5.13</t>
  </si>
  <si>
    <t xml:space="preserve">Labelling of information</t>
  </si>
  <si>
    <t xml:space="preserve">Sensitivity labelling deployed in Google Workspace. Document footers required by POL-04. Adoption measured at approximately 60% of eligible documents.</t>
  </si>
  <si>
    <t xml:space="preserve">Google Workspace labelling configuration inspected. Adoption report 31 Aug 2026: 61% of eligible documents labelled.</t>
  </si>
  <si>
    <t xml:space="preserve">Design adequate; operation deficient (adoption at 61%)</t>
  </si>
  <si>
    <t xml:space="preserve">Labelling is required by policy but not enforced or consistently applied. Unlabelled Confidential material circulates, which undermines the data loss prevention rules that depend on labels.</t>
  </si>
  <si>
    <t xml:space="preserve">Enable default labelling and mandatory label prompts in Google Workspace. Run a labelling remediation campaign on existing shared drives. Report adoption monthly until above 95%.</t>
  </si>
  <si>
    <t xml:space="preserve">A.5.14</t>
  </si>
  <si>
    <t xml:space="preserve">Information transfer</t>
  </si>
  <si>
    <t xml:space="preserve">POL-04 section 6.2 prohibits email for Restricted data and mandates the secure transfer platform. Managed links with expiry for Confidential data. NDAs required before external sharing.</t>
  </si>
  <si>
    <t xml:space="preserve">POL-04 s6.2 reviewed. Secure transfer platform configuration inspected. Sharing link audit sampled.</t>
  </si>
  <si>
    <t xml:space="preserve">A.5.15</t>
  </si>
  <si>
    <t xml:space="preserve">Access control</t>
  </si>
  <si>
    <t xml:space="preserve">POL-03 v2.2 establishes least privilege, need to know, deny by default and time-bound privilege. Enforced through Okta and CyberArk.</t>
  </si>
  <si>
    <t xml:space="preserve">POL-03 v2.2 reviewed. Okta policy configuration inspected.</t>
  </si>
  <si>
    <t xml:space="preserve">A.5.16</t>
  </si>
  <si>
    <t xml:space="preserve">Identity management</t>
  </si>
  <si>
    <t xml:space="preserve">Okta is the authoritative identity provider. Unique identities for all workers. Service accounts have named owners and non-interactive login only.</t>
  </si>
  <si>
    <t xml:space="preserve">Okta directory inspected 3 Sep 2026: 610 active identities, 0 shared interactive accounts, 84 service accounts all with named owner.</t>
  </si>
  <si>
    <t xml:space="preserve">A.5.17</t>
  </si>
  <si>
    <t xml:space="preserve">Authentication information</t>
  </si>
  <si>
    <t xml:space="preserve">MFA universal. Phishing-resistant FIDO2 mandatory for privileged access. Credentials held in HashiCorp Vault. Breached-password screening at set and at use.</t>
  </si>
  <si>
    <t xml:space="preserve">Okta authentication policy inspected. Vault configuration reviewed. FIDO2 enrolment: 100% of 41 privileged holders.</t>
  </si>
  <si>
    <t xml:space="preserve">A.5.18</t>
  </si>
  <si>
    <t xml:space="preserve">Access rights</t>
  </si>
  <si>
    <t xml:space="preserve">Quarterly recertification for all entitlements, monthly for privileged and CDE access. Automatic revocation of unconfirmed access. Leaver revocation within four hours, evidenced.</t>
  </si>
  <si>
    <t xml:space="preserve">Q2 2026 recertification campaign records reviewed: 100% completion, 214 entitlements revoked. Leaver revocation sample of 15: all within 4 hours.</t>
  </si>
  <si>
    <t xml:space="preserve">A.5.19</t>
  </si>
  <si>
    <t xml:space="preserve">Information security in supplier relationships</t>
  </si>
  <si>
    <t xml:space="preserve">POL-09 v1.3 requires assessment before onboarding. Procurement gatekeeps new supplier engagement. Assessment is performed at onboarding for all Tier 1 and Tier 2 suppliers.</t>
  </si>
  <si>
    <t xml:space="preserve">POL-09 v1.3 reviewed. Supplier onboarding records sampled, 8 of 8 assessed at onboarding. No offboarding security requirements located.</t>
  </si>
  <si>
    <t xml:space="preserve">The process is defined for new suppliers but there is no documented approach to managing security across the supplier lifecycle, and no exit or termination security requirements.</t>
  </si>
  <si>
    <t xml:space="preserve">Extend POL-09 to cover the full supplier lifecycle including offboarding, data return and destruction. Define security requirements for supplier exit and test them on the next termination.</t>
  </si>
  <si>
    <t xml:space="preserve">Elena Petrova</t>
  </si>
  <si>
    <t xml:space="preserve">W-08</t>
  </si>
  <si>
    <t xml:space="preserve">A.5.20</t>
  </si>
  <si>
    <t xml:space="preserve">Addressing information security within supplier agreements</t>
  </si>
  <si>
    <t xml:space="preserve">Standard security schedule applied to contracts executed since 2023, covering incident notification within 24 hours, audit rights and data handling.</t>
  </si>
  <si>
    <t xml:space="preserve">Contract register reviewed. 8 of 34 Tier 1/2 agreements lack the 2023 security schedule; list obtained from Legal.</t>
  </si>
  <si>
    <t xml:space="preserve">Design adequate for new contracts; legacy population outside scope of the design</t>
  </si>
  <si>
    <t xml:space="preserve">Contracts predating 2023 do not carry the standard security schedule. Eight Tier 1 and Tier 2 suppliers, including Northgate Analytics, are on legacy paper with weaker or absent security terms.</t>
  </si>
  <si>
    <t xml:space="preserve">Identify all Tier 1 and Tier 2 agreements lacking the current security schedule. Prioritise renegotiation at next renewal, and seek immediate amendment for Tier 1 suppliers on the critical path.</t>
  </si>
  <si>
    <t xml:space="preserve">Jonathan Reyes</t>
  </si>
  <si>
    <t xml:space="preserve">A.5.21</t>
  </si>
  <si>
    <t xml:space="preserve">Managing information security in the ICT supply chain</t>
  </si>
  <si>
    <t xml:space="preserve">No process exists. Subcontractors and fourth parties used by suppliers are not identified, disclosed or assessed.</t>
  </si>
  <si>
    <t xml:space="preserve">Interview: Head of Procurement. No subcontractor register exists. TPRM questionnaire reviewed: no disclosure question present at assessment date.</t>
  </si>
  <si>
    <t xml:space="preserve">Aldridge has no visibility of the onward supply chain. It cannot answer where its data physically resides beyond the first tier, which is a direct exposure given Restricted data is shared with Tier 1 suppliers.</t>
  </si>
  <si>
    <t xml:space="preserve">Add mandatory subcontractor disclosure to the TPRM questionnaire and to contract terms, with a notification obligation before any change. Map the fourth parties of all Tier 1 suppliers.</t>
  </si>
  <si>
    <t xml:space="preserve">A.5.22</t>
  </si>
  <si>
    <t xml:space="preserve">Monitoring, review and change management of supplier services</t>
  </si>
  <si>
    <t xml:space="preserve">Reassessment is required annually for Tier 1 and Tier 2 by POL-09. Eleven of thirty-four Tier 1 and Tier 2 suppliers are overdue. Northgate Analytics (V-01) was last assessed in October 2024.</t>
  </si>
  <si>
    <t xml:space="preserve">Reassessment tracker reviewed 2 Sep 2026: 11 of 34 Tier 1/2 overdue. Northgate last assessment dated Oct 2024.</t>
  </si>
  <si>
    <t xml:space="preserve">Design adequate; operation deficient (reassessment not performed)</t>
  </si>
  <si>
    <t xml:space="preserve">The reassessment obligation is defined but not performed. A critical-path supplier handling Restricted cardholder data has not been assessed for 23 months. There is no ongoing monitoring of supplier performance against security terms between assessments.</t>
  </si>
  <si>
    <t xml:space="preserve">Clear the reassessment backlog, Tier 1 first, by 31 January 2027. Implement continuous supplier monitoring for Tier 1. Add reassessment due dates to the procurement system with automated escalation to the CISO at 30 days overdue.</t>
  </si>
  <si>
    <t xml:space="preserve">A.5.23</t>
  </si>
  <si>
    <t xml:space="preserve">Information security for use of cloud services</t>
  </si>
  <si>
    <t xml:space="preserve">AWS is well governed with landing zones, guardrails, Wiz posture management and Terraform. SaaS acquisition is governed by POL-01 section 3.6 but not enforced technically. Approximately 40 unregistered SaaS applications are in use.</t>
  </si>
  <si>
    <t xml:space="preserve">AWS landing zone and Wiz configuration inspected. CASB report Aug 2026: 40 unregistered applications, 11 handling apparent Confidential content.</t>
  </si>
  <si>
    <t xml:space="preserve">Cloud governance is strong for infrastructure and weak for software as a service. Unregistered applications may be processing Confidential or Restricted data with no assessment, no contract and no exit provision, and they fall outside the declared ISMS scope.</t>
  </si>
  <si>
    <t xml:space="preserve">Triage the 40 discovered applications by data classification. Block or sanction each one. Route SaaS procurement through Okta and Procurement so that acquisition without assessment is not technically possible.</t>
  </si>
  <si>
    <t xml:space="preserve">Sanjay Mehta</t>
  </si>
  <si>
    <t xml:space="preserve">A.5.24</t>
  </si>
  <si>
    <t xml:space="preserve">Information security incident management planning and preparation</t>
  </si>
  <si>
    <t xml:space="preserve">POL-02 v3.0 and PLN-01 runbooks issued. Named Incident Commanders with deputies. DFIR retainer in place. Two tabletop exercises completed in 2026, one with executive participation.</t>
  </si>
  <si>
    <t xml:space="preserve">POL-02 v3.0 and PLN-01 runbooks reviewed. DFIR retainer agreement inspected. Exercise reports Feb and Jul 2026 reviewed.</t>
  </si>
  <si>
    <t xml:space="preserve">A.5.25</t>
  </si>
  <si>
    <t xml:space="preserve">Assessment and decision on information security events</t>
  </si>
  <si>
    <t xml:space="preserve">Four-tier severity model with documented triage criteria. Provisional severity assigned at triage and reassessed as facts change.</t>
  </si>
  <si>
    <t xml:space="preserve">Triage criteria reviewed. Sample of 30 events Q2 2026: severity assigned in 30, reassessed in 4.</t>
  </si>
  <si>
    <t xml:space="preserve">A.5.26</t>
  </si>
  <si>
    <t xml:space="preserve">Response to information security incidents</t>
  </si>
  <si>
    <t xml:space="preserve">Six-phase lifecycle aligned to NIST SP 800-61. Incident Commander holds decision authority. Response evidenced across 2026 incidents.</t>
  </si>
  <si>
    <t xml:space="preserve">Incident records for 3 S2 and 1 S3 incident in 2026 reviewed end to end.</t>
  </si>
  <si>
    <t xml:space="preserve">A.5.27</t>
  </si>
  <si>
    <t xml:space="preserve">Learning from information security incidents</t>
  </si>
  <si>
    <t xml:space="preserve">Blameless post-incident review mandatory for S1 and S2. Actions assigned with owners and due dates and tracked to closure at the ERC.</t>
  </si>
  <si>
    <t xml:space="preserve">Post-incident review reports for 3 incidents reviewed. Action tracker inspected: 14 of 17 actions closed.</t>
  </si>
  <si>
    <t xml:space="preserve">A.5.28</t>
  </si>
  <si>
    <t xml:space="preserve">Collection of evidence</t>
  </si>
  <si>
    <t xml:space="preserve">STD-08 Digital Evidence Handling Standard issued. Chain of custody documented. Forensic imaging performed before rebuild. External DFIR provider retained.</t>
  </si>
  <si>
    <t xml:space="preserve">STD-08 reviewed. Chain of custody records for the Apr 2026 incident inspected.</t>
  </si>
  <si>
    <t xml:space="preserve">A.5.29</t>
  </si>
  <si>
    <t xml:space="preserve">Information security during disruption</t>
  </si>
  <si>
    <t xml:space="preserve">PLN-03 issued covering continuity and recovery. Component-level failover tested quarterly. No end-to-end test since March 2025.</t>
  </si>
  <si>
    <t xml:space="preserve">POL-08 and PLN-03 reviewed. Last full exercise report dated Mar 2025.</t>
  </si>
  <si>
    <t xml:space="preserve">Continuity arrangements are documented but unproven at whole-service level. The recovery time objectives stated for A-01, A-02, A-10, A-11, A-12 and A-15 have not been validated in an integrated test.</t>
  </si>
  <si>
    <t xml:space="preserve">Run a full end-to-end disaster recovery exercise for Aldridge Pay and the identity and secrets platforms by 31 March 2027. Record actual against target RTO and revise PLN-03 with the observed results.</t>
  </si>
  <si>
    <t xml:space="preserve">A.5.30</t>
  </si>
  <si>
    <t xml:space="preserve">W-07</t>
  </si>
  <si>
    <t xml:space="preserve">ICT readiness for business continuity</t>
  </si>
  <si>
    <t xml:space="preserve">Multi-availability-zone architecture with cross-region DR. Backups automated and encrypted. Recovery procedures documented per service.</t>
  </si>
  <si>
    <t xml:space="preserve">PLN-03 recovery procedures reviewed. Quarterly component failover test results Q1 and Q2 2026 inspected.</t>
  </si>
  <si>
    <t xml:space="preserve">ICT readiness is designed but not verified. Restore testing is performed at component level only; a full restore of the Aldridge Credit servicing estate has never been performed.</t>
  </si>
  <si>
    <t xml:space="preserve">Extend the DR exercise programme to cover full restore of A-03, A-04 and A-05. Test at least annually thereafter and report results to the ERC.</t>
  </si>
  <si>
    <t xml:space="preserve">A.8.14</t>
  </si>
  <si>
    <t xml:space="preserve">A.5.31</t>
  </si>
  <si>
    <t xml:space="preserve">Legal, statutory, regulatory and contractual requirements</t>
  </si>
  <si>
    <t xml:space="preserve">Legal maintains an obligations register covering PCI DSS, state money transmitter licences, FCA rules, UK GDPR and state breach laws. Reviewed quarterly.</t>
  </si>
  <si>
    <t xml:space="preserve">Obligations register reviewed 2 Sep 2026. Quarterly review evidenced for Q1 and Q2 2026.</t>
  </si>
  <si>
    <t xml:space="preserve">A.5.32</t>
  </si>
  <si>
    <t xml:space="preserve">Intellectual property rights</t>
  </si>
  <si>
    <t xml:space="preserve">Software licensing managed through Jamf and Intune for managed applications. Open source licence scanning in CI.</t>
  </si>
  <si>
    <t xml:space="preserve">Jamf and Intune licence reports reviewed. SCA licence scanning configuration inspected. No SAM process located.</t>
  </si>
  <si>
    <t xml:space="preserve">Licence position for the approximately 40 unregistered SaaS applications is unknown, as is whether any are being used beyond their licensed terms.</t>
  </si>
  <si>
    <t xml:space="preserve">Include licence compliance in the SaaS triage exercise under A.5.23. Establish a software asset management process covering acquisition and true-up.</t>
  </si>
  <si>
    <t xml:space="preserve">A.5.33</t>
  </si>
  <si>
    <t xml:space="preserve">Protection of records</t>
  </si>
  <si>
    <t xml:space="preserve">SCH-01 Records Retention Schedule published. Legal hold process operated by the General Counsel. Records protected by access control and encryption.</t>
  </si>
  <si>
    <t xml:space="preserve">SCH-01 reviewed. Snowflake retention query executed with the data team 4 Sep 2026: borrower records identified predating the stated period.</t>
  </si>
  <si>
    <t xml:space="preserve">Design adequate; operation deficient (schedule not enforced)</t>
  </si>
  <si>
    <t xml:space="preserve">The retention schedule is not technically enforced. Borrower data in Snowflake (A-09) is held beyond the stated retention period, so records are retained without a lawful or business basis.</t>
  </si>
  <si>
    <t xml:space="preserve">Implement automated retention enforcement in Snowflake and the secure data zone. Reconcile actual retention against SCH-01 and remediate the existing overage. Report exceptions quarterly.</t>
  </si>
  <si>
    <t xml:space="preserve">W-09</t>
  </si>
  <si>
    <t xml:space="preserve">A.5.34</t>
  </si>
  <si>
    <t xml:space="preserve">Privacy and protection of personal identifiable information</t>
  </si>
  <si>
    <t xml:space="preserve">DPO appointed. Privacy notices published. DPIAs performed for new processing. Lawful transfer mechanisms documented for cross-border flows.</t>
  </si>
  <si>
    <t xml:space="preserve">LEG-POL-01, privacy notices and 4 DPIAs reviewed. Interview: Data Protection Officer.</t>
  </si>
  <si>
    <t xml:space="preserve">The privacy framework is sound in design but is undermined by the retention overage at A.5.33, which breaches the UK GDPR storage limitation principle for identifiable borrower data.</t>
  </si>
  <si>
    <t xml:space="preserve">Close the retention gap under A.5.33. Add a privacy compliance measure to the quarterly DPO report covering retention conformance and DPIA completeness.</t>
  </si>
  <si>
    <t xml:space="preserve">Sofia Kallio</t>
  </si>
  <si>
    <t xml:space="preserve">A.5.35</t>
  </si>
  <si>
    <t xml:space="preserve">Independent review of information security</t>
  </si>
  <si>
    <t xml:space="preserve">Annual PCI DSS assessment by an external QSA. SOC 2 Type II audit annually. Internal Audit reports independently to the Audit Committee.</t>
  </si>
  <si>
    <t xml:space="preserve">PCI AOC and SOC 2 report reviewed. Internal Audit 2026 plan inspected: no ISMS engagement.</t>
  </si>
  <si>
    <t xml:space="preserve">Independent review covers PCI scope and SOC 2 criteria but has never covered the ISMS as a whole. No independent review of information security against ISO/IEC 27001 has been performed.</t>
  </si>
  <si>
    <t xml:space="preserve">Add an ISMS review to the Internal Audit plan for 2027 covering Annex A and clauses 4 to 10. Define a review cycle so that the whole ISMS is covered over three years.</t>
  </si>
  <si>
    <t xml:space="preserve">9.2</t>
  </si>
  <si>
    <t xml:space="preserve">Faisal Rahman</t>
  </si>
  <si>
    <t xml:space="preserve">A.5.36</t>
  </si>
  <si>
    <t xml:space="preserve">Compliance with policies, rules and standards for information security</t>
  </si>
  <si>
    <t xml:space="preserve">Compliance is evidenced for PCI-scoped controls. Access recertification, patching SLAs and training completion are measured.</t>
  </si>
  <si>
    <t xml:space="preserve">Five compliance spreadsheets inspected. No version history, no approval records, 3 with conflicting content.</t>
  </si>
  <si>
    <t xml:space="preserve">Design deficient (no compliance monitoring calendar) and tooling inadequate</t>
  </si>
  <si>
    <t xml:space="preserve">There is no systematic compliance monitoring across the whole control set. Policies, exceptions, risks and reviews are tracked across five uncontrolled spreadsheets, so compliance cannot be demonstrated on demand.</t>
  </si>
  <si>
    <t xml:space="preserve">Procure and implement GRC tooling to hold policies, controls, exceptions, risks and evidence in one controlled system. Define a compliance monitoring calendar covering every applicable control.</t>
  </si>
  <si>
    <t xml:space="preserve">W-13</t>
  </si>
  <si>
    <t xml:space="preserve">A.5.37</t>
  </si>
  <si>
    <t xml:space="preserve">Documented operating procedures</t>
  </si>
  <si>
    <t xml:space="preserve">SOC runbooks and platform engineering procedures are documented and maintained. Procedures for corporate, finance and people processes are patchy.</t>
  </si>
  <si>
    <t xml:space="preserve">SOC and platform runbook repositories reviewed. Sample of 8 security-relevant processes outside engineering: 3 documented.</t>
  </si>
  <si>
    <t xml:space="preserve">Documentation coverage is uneven. Several security-relevant operational activities outside engineering rely on individual knowledge rather than documented procedure.</t>
  </si>
  <si>
    <t xml:space="preserve">Inventory security-relevant operating procedures across all functions. Document the gaps to a common template and place them under version control in the GRC platform.</t>
  </si>
  <si>
    <t xml:space="preserve">A.6.1</t>
  </si>
  <si>
    <t xml:space="preserve">Screening</t>
  </si>
  <si>
    <t xml:space="preserve">Background screening performed for all workers before start date, through a third-party provider, covering identity, right to work, criminal record and employment history. Enhanced screening for privileged and finance roles.</t>
  </si>
  <si>
    <t xml:space="preserve">Screening provider reports sampled, 15 of 15 joiners 2026 screened before start date.</t>
  </si>
  <si>
    <t xml:space="preserve">A.6.2</t>
  </si>
  <si>
    <t xml:space="preserve">Terms and conditions of employment</t>
  </si>
  <si>
    <t xml:space="preserve">Employment contracts and contractor agreements include information security and confidentiality obligations that survive termination.</t>
  </si>
  <si>
    <t xml:space="preserve">Employment contract template and contractor agreement reviewed.</t>
  </si>
  <si>
    <t xml:space="preserve">A.6.3</t>
  </si>
  <si>
    <t xml:space="preserve">Information security awareness, education and training</t>
  </si>
  <si>
    <t xml:space="preserve">Annual training through KnowBe4 at 91% completion. Quarterly phishing simulation, most recent click rate 14.2% and report rate 31.0%. Induction training required before access is granted.</t>
  </si>
  <si>
    <t xml:space="preserve">KnowBe4 completion report 31 Aug 2026: 91.0%. Q2 2026 campaign report reviewed. No intervention records located for 47 repeat clickers.</t>
  </si>
  <si>
    <t xml:space="preserve">Design deficient (no intervention pathway) and operation deficient (91% completion)</t>
  </si>
  <si>
    <t xml:space="preserve">Completion is short of target, with the residual 9% concentrated in Sales and the London office. Phishing simulation results are not linked to any follow-up: 47 repeat clickers have received no targeted intervention. Training is not differentiated by role.</t>
  </si>
  <si>
    <t xml:space="preserve">Deliver the security awareness programme under AFT-ISMS-PRG-01, including role-based content, automatic enrolment of simulation failures into targeted modules, and escalation to line managers for non-completion.</t>
  </si>
  <si>
    <t xml:space="preserve">W-14, W-15</t>
  </si>
  <si>
    <t xml:space="preserve">A.6.4</t>
  </si>
  <si>
    <t xml:space="preserve">Disciplinary process</t>
  </si>
  <si>
    <t xml:space="preserve">HR-POL-02 Disciplinary Procedure applies to security policy breaches. Referenced from POL-01, POL-02 and POL-03. Applied consistently across both entities.</t>
  </si>
  <si>
    <t xml:space="preserve">HR-POL-02 reviewed. Interview: VP People Operations.</t>
  </si>
  <si>
    <t xml:space="preserve">A.6.5</t>
  </si>
  <si>
    <t xml:space="preserve">Responsibilities after termination or change of employment</t>
  </si>
  <si>
    <t xml:space="preserve">Confidentiality obligations survive termination by contract. PRO-03 covers revocation, asset return and, for privileged holders, credential rotation within 24 hours.</t>
  </si>
  <si>
    <t xml:space="preserve">Contract clauses reviewed. PRO-03 credential rotation step evidenced for 2 privileged leavers in 2026.</t>
  </si>
  <si>
    <t xml:space="preserve">A.6.6</t>
  </si>
  <si>
    <t xml:space="preserve">Confidentiality or non-disclosure agreements</t>
  </si>
  <si>
    <t xml:space="preserve">NDAs executed with all suppliers and counterparties before Confidential information is shared. Employee confidentiality terms in contracts.</t>
  </si>
  <si>
    <t xml:space="preserve">NDA templates reviewed. No central register produced on request; contractor NDA status could not be evidenced.</t>
  </si>
  <si>
    <t xml:space="preserve">No periodic review of NDA coverage. Contractor and temporary worker NDA status is not centrally tracked, so it cannot be demonstrated that every individual with access has current confidentiality terms.</t>
  </si>
  <si>
    <t xml:space="preserve">Build a central register of confidentiality agreements covering workers and third parties. Review annually and at contract renewal. Link NDA status to access provisioning.</t>
  </si>
  <si>
    <t xml:space="preserve">A.6.7</t>
  </si>
  <si>
    <t xml:space="preserve">Remote working</t>
  </si>
  <si>
    <t xml:space="preserve">POL-01 section 3.8 sets remote working requirements. Zero trust access with device posture evaluation. Managed endpoints with encryption and EDR.</t>
  </si>
  <si>
    <t xml:space="preserve">POL-01 s3.8 reviewed. Zero trust access policy configuration inspected.</t>
  </si>
  <si>
    <t xml:space="preserve">A.6.8</t>
  </si>
  <si>
    <t xml:space="preserve">Information security event reporting</t>
  </si>
  <si>
    <t xml:space="preserve">POL-02 section 4 places a reporting duty on every worker with a one-hour expectation. Report Phishing button in the mail client with 31.0% report rate. Security hotline and service portal route available.</t>
  </si>
  <si>
    <t xml:space="preserve">POL-02 s4 reviewed. Report Phishing telemetry Q2 2026: 189 reports, median 11 minutes.</t>
  </si>
  <si>
    <t xml:space="preserve">A.7.1</t>
  </si>
  <si>
    <t xml:space="preserve">Physical security perimeters</t>
  </si>
  <si>
    <t xml:space="preserve">Austin office has a defined and controlled perimeter with reception, badge-controlled doors and a separately secured comms room. London office occupies a floor of a multi-tenant building with landlord-controlled perimeter.</t>
  </si>
  <si>
    <t xml:space="preserve">Austin walkthrough 3 Sep 2026. London: lease reviewed; landlord security arrangements not obtained.</t>
  </si>
  <si>
    <t xml:space="preserve">The London perimeter is outside Aldridge control. The company cannot evidence the adequacy of perimeter controls at a site where 140 workers handle Confidential information.</t>
  </si>
  <si>
    <t xml:space="preserve">Obtain the landlord's security arrangements and assess them. Where inadequate, install Aldridge-controlled access at the floor boundary. Record the residual risk and accept it formally if it cannot be closed.</t>
  </si>
  <si>
    <t xml:space="preserve">A.7.2</t>
  </si>
  <si>
    <t xml:space="preserve">Grace Lindberg</t>
  </si>
  <si>
    <t xml:space="preserve">W-11</t>
  </si>
  <si>
    <t xml:space="preserve">Physical entry</t>
  </si>
  <si>
    <t xml:space="preserve">Austin uses individually issued badges with logged entry and visitor escorting. London access credentials are issued and administered by the building landlord.</t>
  </si>
  <si>
    <t xml:space="preserve">Austin badge system export reviewed. London: access holder list requested from landlord, not provided within the assessment period.</t>
  </si>
  <si>
    <t xml:space="preserve">Aldridge cannot produce a list of who holds London office access, cannot revoke access directly on termination, and does not receive entry logs. Leaver revocation for the London site depends on a landlord request with no confirmed service level.</t>
  </si>
  <si>
    <t xml:space="preserve">Negotiate direct administrative access or a guaranteed revocation service level with the landlord, with monthly access list provision. If unavailable, install an Aldridge-controlled access layer at the suite entrance.</t>
  </si>
  <si>
    <t xml:space="preserve">A.7.3</t>
  </si>
  <si>
    <t xml:space="preserve">Securing offices, rooms and facilities</t>
  </si>
  <si>
    <t xml:space="preserve">Comms rooms and secure areas separately controlled with restricted access lists. Meeting rooms handling Restricted material identified and controlled.</t>
  </si>
  <si>
    <t xml:space="preserve">Austin comms room access list reviewed (7 holders).</t>
  </si>
  <si>
    <t xml:space="preserve">A.7.4</t>
  </si>
  <si>
    <t xml:space="preserve">Physical security monitoring</t>
  </si>
  <si>
    <t xml:space="preserve">CCTV coverage of entry points and the comms room at Austin, retained 30 days. Alarm system monitored out of hours. London monitoring is operated by the landlord.</t>
  </si>
  <si>
    <t xml:space="preserve">Austin CCTV configuration inspected, 30-day retention confirmed. London: no Aldridge footage access.</t>
  </si>
  <si>
    <t xml:space="preserve">No monitoring capability or footage access at the London site. An incident there could not be investigated from physical evidence.</t>
  </si>
  <si>
    <t xml:space="preserve">Agree footage access rights with the landlord under the lease or a side letter. Install Aldridge CCTV covering the suite entrance and comms cupboard.</t>
  </si>
  <si>
    <t xml:space="preserve">A.7.5</t>
  </si>
  <si>
    <t xml:space="preserve">Protecting against physical and environmental threats</t>
  </si>
  <si>
    <t xml:space="preserve">Production processing is entirely within AWS, where environmental protection is inherited and evidenced through AWS attestation reports. Office risk assessments cover fire and flood.</t>
  </si>
  <si>
    <t xml:space="preserve">AWS attestation report reviewed. Austin office fire and flood risk assessment dated Jan 2026.</t>
  </si>
  <si>
    <t xml:space="preserve">A.7.6</t>
  </si>
  <si>
    <t xml:space="preserve">Working in secure areas</t>
  </si>
  <si>
    <t xml:space="preserve">Comms room access requires separate approval and is logged. Photography prohibited. Lone working in secure areas restricted.</t>
  </si>
  <si>
    <t xml:space="preserve">Secure area procedure reviewed. Austin comms room entry log sampled.</t>
  </si>
  <si>
    <t xml:space="preserve">A.7.7</t>
  </si>
  <si>
    <t xml:space="preserve">Clear desk and clear screen</t>
  </si>
  <si>
    <t xml:space="preserve">POL-04 section 6.4 requires clear desk for Confidential and Restricted material. Automatic screen lock enforced at 15 minutes by device management.</t>
  </si>
  <si>
    <t xml:space="preserve">POL-04 s6.4 reviewed. MDM screen lock configuration inspected. No walkthrough or spot check records exist.</t>
  </si>
  <si>
    <t xml:space="preserve">Design adequate; operation unverified (no compliance checking)</t>
  </si>
  <si>
    <t xml:space="preserve">Screen locking is enforced technically but clear desk compliance has never been verified. No walkthrough or spot check has been performed at either site.</t>
  </si>
  <si>
    <t xml:space="preserve">Introduce quarterly clear desk walkthroughs at both offices with recorded findings. Report results to the Security Steering Group and address repeat offenders through line management.</t>
  </si>
  <si>
    <t xml:space="preserve">A.7.8</t>
  </si>
  <si>
    <t xml:space="preserve">Equipment siting and protection</t>
  </si>
  <si>
    <t xml:space="preserve">Minimal on-premises equipment. Comms room equipment racked, secured and sited away from environmental hazards.</t>
  </si>
  <si>
    <t xml:space="preserve">Austin comms room walkthrough 3 Sep 2026.</t>
  </si>
  <si>
    <t xml:space="preserve">A.7.9</t>
  </si>
  <si>
    <t xml:space="preserve">Security of assets off-premises</t>
  </si>
  <si>
    <t xml:space="preserve">POL-01 section 3.4 covers device handling off premises. Full disk encryption, EDR and remote wipe on all endpoints. Loss reporting within four hours.</t>
  </si>
  <si>
    <t xml:space="preserve">MDM encryption and remote wipe configuration inspected: 610 of 610 endpoints encrypted.</t>
  </si>
  <si>
    <t xml:space="preserve">A.7.10</t>
  </si>
  <si>
    <t xml:space="preserve">Storage media</t>
  </si>
  <si>
    <t xml:space="preserve">Removable media restricted by device management and permitted only on documented business need. Company-issued and encrypted. Personal media blocked at the endpoint.</t>
  </si>
  <si>
    <t xml:space="preserve">MDM removable media policy inspected. Sample of media issuance records reviewed.</t>
  </si>
  <si>
    <t xml:space="preserve">A.7.11</t>
  </si>
  <si>
    <t xml:space="preserve">Supporting utilities</t>
  </si>
  <si>
    <t xml:space="preserve">Production utilities inherited from AWS. Austin comms room supported by UPS with tested failover. London utilities are landlord-provided.</t>
  </si>
  <si>
    <t xml:space="preserve">AWS attestation reviewed. Austin UPS test record dated May 2026.</t>
  </si>
  <si>
    <t xml:space="preserve">A.7.12</t>
  </si>
  <si>
    <t xml:space="preserve">Cabling security</t>
  </si>
  <si>
    <t xml:space="preserve">Austin cabling is contained within the secured comms room and protected risers. London cabling passes through landlord-managed risers.</t>
  </si>
  <si>
    <t xml:space="preserve">Austin riser walkthrough. London: landlord-managed, not inspected.</t>
  </si>
  <si>
    <t xml:space="preserve">Cabling in the London building is not under Aldridge control or inspection. Low exposure given no Restricted processing occurs on premises, but it cannot be evidenced.</t>
  </si>
  <si>
    <t xml:space="preserve">Document the reliance on the landlord and record it as an accepted risk in the risk register, subject to confirmation that no Restricted data traverses on-premises cabling.</t>
  </si>
  <si>
    <t xml:space="preserve">Post-certification</t>
  </si>
  <si>
    <t xml:space="preserve">A.7.13</t>
  </si>
  <si>
    <t xml:space="preserve">Equipment maintenance</t>
  </si>
  <si>
    <t xml:space="preserve">Limited owned equipment. Comms room hardware under vendor maintenance contract with records retained. Endpoint replacement on a three-year cycle.</t>
  </si>
  <si>
    <t xml:space="preserve">Maintenance contract and service records reviewed.</t>
  </si>
  <si>
    <t xml:space="preserve">A.7.14</t>
  </si>
  <si>
    <t xml:space="preserve">Secure disposal or re-use of equipment</t>
  </si>
  <si>
    <t xml:space="preserve">POL-04 section 7 requires cryptographic erasure or certified destruction. Certificates of destruction retained. Disposal recorded in the asset register.</t>
  </si>
  <si>
    <t xml:space="preserve">Destruction certificates sampled, 6 of 6 disposals 2026 evidenced. Asset register disposal entries reconciled.</t>
  </si>
  <si>
    <t xml:space="preserve">A.8.1</t>
  </si>
  <si>
    <t xml:space="preserve">User endpoint devices</t>
  </si>
  <si>
    <t xml:space="preserve">All 610 endpoints enrolled in Jamf or Intune with disk encryption, CrowdStrike EDR and automatic patching. Administrative rights granted by exception only.</t>
  </si>
  <si>
    <t xml:space="preserve">Jamf and Intune compliance reports 1 Sep 2026: 610 enrolled, 610 encrypted, 598 with current EDR.</t>
  </si>
  <si>
    <t xml:space="preserve">A.8.2</t>
  </si>
  <si>
    <t xml:space="preserve">Privileged access rights</t>
  </si>
  <si>
    <t xml:space="preserve">CyberArk just-in-time elevation with four-hour maximum session. No standing production privilege. Break-glass accounts sealed, alerted and reconciled. Privileged sessions recorded and retained 12 months.</t>
  </si>
  <si>
    <t xml:space="preserve">CyberArk configuration inspected. Privileged session recording sampled. Break-glass reconciliation records for 3 uses in 2026 reviewed.</t>
  </si>
  <si>
    <t xml:space="preserve">A.8.3</t>
  </si>
  <si>
    <t xml:space="preserve">Information access restriction</t>
  </si>
  <si>
    <t xml:space="preserve">Role-based access enforced through Okta groups mapped to application entitlements. Restricted data access requires named grant with CISO approval.</t>
  </si>
  <si>
    <t xml:space="preserve">Okta group-to-entitlement mapping inspected for 6 applications.</t>
  </si>
  <si>
    <t xml:space="preserve">A.8.4</t>
  </si>
  <si>
    <t xml:space="preserve">Access to source code</t>
  </si>
  <si>
    <t xml:space="preserve">GitHub Enterprise with branch protection, required reviews, CODEOWNERS enforcement and signed commits. Repository access granted by team with quarterly recertification.</t>
  </si>
  <si>
    <t xml:space="preserve">GitHub organisation settings inspected: branch protection and CODEOWNERS enforced on 41 of 41 production repositories.</t>
  </si>
  <si>
    <t xml:space="preserve">A.8.5</t>
  </si>
  <si>
    <t xml:space="preserve">Secure authentication</t>
  </si>
  <si>
    <t xml:space="preserve">MFA universal, FIDO2 phishing-resistant for privileged access. SMS one-time passcodes not accepted for privileged access. Session timeouts enforced at 15 minutes, 10 for privileged.</t>
  </si>
  <si>
    <t xml:space="preserve">Okta authentication policies inspected. Privileged policy confirmed to exclude SMS OTP.</t>
  </si>
  <si>
    <t xml:space="preserve">A.8.6</t>
  </si>
  <si>
    <t xml:space="preserve">Capacity management</t>
  </si>
  <si>
    <t xml:space="preserve">Autoscaling configured across production services. Utilisation monitored with alerting. Capacity reviewed reactively when alerts fire.</t>
  </si>
  <si>
    <t xml:space="preserve">Autoscaling configuration inspected. No capacity plan produced on request.</t>
  </si>
  <si>
    <t xml:space="preserve">Capacity management is reactive. There is no forward capacity plan tied to the 28% growth rate, and no documented capacity requirements for the services with one-hour recovery objectives.</t>
  </si>
  <si>
    <t xml:space="preserve">Produce an annual capacity plan covering compute, storage, database and third-party rate limits, refreshed quarterly against actual growth.</t>
  </si>
  <si>
    <t xml:space="preserve">A.8.7</t>
  </si>
  <si>
    <t xml:space="preserve">Protection against malware</t>
  </si>
  <si>
    <t xml:space="preserve">CrowdStrike Falcon deployed across endpoints and servers with 98% coverage. Detection tuned and monitored by the SOC. Email and web filtering in place.</t>
  </si>
  <si>
    <t xml:space="preserve">CrowdStrike console 1 Sep 2026: 98.1% coverage; 12 uncovered hosts identified in the uncodified estate.</t>
  </si>
  <si>
    <t xml:space="preserve">A.8.8</t>
  </si>
  <si>
    <t xml:space="preserve">Management of technical vulnerabilities</t>
  </si>
  <si>
    <t xml:space="preserve">Wiz for cloud and container scanning, SCA in CI, annual external penetration test. Remediation SLAs defined by severity and met with evidenced tracking.</t>
  </si>
  <si>
    <t xml:space="preserve">Wiz findings and SLA compliance report Aug 2026 reviewed. Penetration test report Jun 2026 reviewed with remediation tracker.</t>
  </si>
  <si>
    <t xml:space="preserve">A.8.9</t>
  </si>
  <si>
    <t xml:space="preserve">Configuration management</t>
  </si>
  <si>
    <t xml:space="preserve">Approximately 80% of the estate is defined in Terraform with drift detection. Baseline hardening applied through golden images and Wiz benchmarks.</t>
  </si>
  <si>
    <t xml:space="preserve">Terraform state reconciled to AWS inventory 4 Sep 2026: 79.6% codified. Wiz benchmark compliance report reviewed.</t>
  </si>
  <si>
    <t xml:space="preserve">Design adequate for the codified estate; no design covers the remainder</t>
  </si>
  <si>
    <t xml:space="preserve">The remaining 20%, largely older Aldridge Pay components, is not codified. Configuration for those systems is semi-manual, undocumented and not subject to drift detection, and it sits inside the cardholder data environment.</t>
  </si>
  <si>
    <t xml:space="preserve">Codify the remaining Aldridge Pay estate in Terraform, prioritising CDE components. Where migration is not feasible before certification, document the baseline configuration and introduce compensating configuration monitoring.</t>
  </si>
  <si>
    <t xml:space="preserve">W-12</t>
  </si>
  <si>
    <t xml:space="preserve">A.8.10</t>
  </si>
  <si>
    <t xml:space="preserve">Information deletion</t>
  </si>
  <si>
    <t xml:space="preserve">Deletion procedures documented in POL-04 section 7. Cryptographic erasure used for cloud storage. Customer deletion requests fulfilled by the DPO within statutory timeframes.</t>
  </si>
  <si>
    <t xml:space="preserve">POL-04 s7 reviewed. No automated deletion jobs located in Snowflake or the secure data zone.</t>
  </si>
  <si>
    <t xml:space="preserve">Routine deletion at end of retention is not automated. Borrower data persists in Snowflake beyond the retention period, so information is not being deleted when no longer required.</t>
  </si>
  <si>
    <t xml:space="preserve">Implement automated deletion jobs aligned to SCH-01 across Snowflake, the secure data zone and backups. Evidence the first full cycle before the Stage 2 audit.</t>
  </si>
  <si>
    <t xml:space="preserve">A.8.11</t>
  </si>
  <si>
    <t xml:space="preserve">Data masking</t>
  </si>
  <si>
    <t xml:space="preserve">POL-04 section 6.3 prohibits identifiable production data in non-production. A masking and tokenisation pipeline exists and is used by most teams.</t>
  </si>
  <si>
    <t xml:space="preserve">Masking pipeline configuration inspected. Exception register reviewed: 4 standing exceptions, 3 without expiry.</t>
  </si>
  <si>
    <t xml:space="preserve">Design adequate; operation deficient (exceptions unmanaged)</t>
  </si>
  <si>
    <t xml:space="preserve">Use of the masking pipeline is not enforced. Exceptions permitting production data in test have been granted and are not consistently time-bound or reviewed, so identifiable borrower data has reached non-production environments.</t>
  </si>
  <si>
    <t xml:space="preserve">Make the masking pipeline the only sanctioned route for production data into non-production and block direct copies at the account boundary. Review and expire all standing exceptions.</t>
  </si>
  <si>
    <t xml:space="preserve">A.8.33</t>
  </si>
  <si>
    <t xml:space="preserve">Amara Diallo</t>
  </si>
  <si>
    <t xml:space="preserve">W-06</t>
  </si>
  <si>
    <t xml:space="preserve">A.8.12</t>
  </si>
  <si>
    <t xml:space="preserve">Data leakage prevention</t>
  </si>
  <si>
    <t xml:space="preserve">DLP policies active in Google Workspace covering email and drive sharing, tuned for cardholder data patterns. Automatic external forwarding blocked and monitored.</t>
  </si>
  <si>
    <t xml:space="preserve">Google Workspace DLP rules inspected. Confirmed no coverage of Snowflake egress or endpoint channels.</t>
  </si>
  <si>
    <t xml:space="preserve">DLP coverage does not extend to Snowflake query egress, to the approximately 40 unregistered SaaS applications, or to endpoint channels such as removable media and personal cloud sync.</t>
  </si>
  <si>
    <t xml:space="preserve">Extend DLP to Snowflake egress and endpoint channels. Bring sanctioned SaaS applications under CASB inline control once the A.5.23 triage is complete.</t>
  </si>
  <si>
    <t xml:space="preserve">A.8.13</t>
  </si>
  <si>
    <t xml:space="preserve">Information backup</t>
  </si>
  <si>
    <t xml:space="preserve">Automated encrypted backups with cross-region replication. Retention aligned to service criticality. Component-level restore tested quarterly with results recorded.</t>
  </si>
  <si>
    <t xml:space="preserve">Backup configuration inspected. Restore test records Q1 and Q2 2026 reviewed, component level only.</t>
  </si>
  <si>
    <t xml:space="preserve">Redundancy of information processing facilities</t>
  </si>
  <si>
    <t xml:space="preserve">Multi-availability-zone deployment for all production services. Cross-region disaster recovery configured for us-east-1 to us-west-2.</t>
  </si>
  <si>
    <t xml:space="preserve">Architecture documentation reviewed. Cross-region failover last exercised Mar 2025 per the exercise register.</t>
  </si>
  <si>
    <t xml:space="preserve">Redundancy is architected but the cross-region failover has not been exercised end to end since March 2025, so the stated one-hour recovery objectives for A-01, A-02, A-10, A-11, A-12 and A-15 are unproven.</t>
  </si>
  <si>
    <t xml:space="preserve">Execute a full cross-region failover exercise by 31 March 2027 covering the critical asset set. Record actual recovery times and remediate any that exceed objective.</t>
  </si>
  <si>
    <t xml:space="preserve">A.8.15</t>
  </si>
  <si>
    <t xml:space="preserve">Logging</t>
  </si>
  <si>
    <t xml:space="preserve">Comprehensive logging across Aldridge Pay, the CDE, Okta, CyberArk, AWS CloudTrail and GitHub, shipped to Splunk with tamper-resistant retention.</t>
  </si>
  <si>
    <t xml:space="preserve">Splunk source inventory reconciled to the asset register 4 Sep 2026: 14.8% of Credit servicing components not shipping.</t>
  </si>
  <si>
    <t xml:space="preserve">Design adequate; operation deficient (coverage gap)</t>
  </si>
  <si>
    <t xml:space="preserve">Approximately 15% of the Aldridge Credit servicing estate does not ship logs to Splunk. Activity on those systems, which hold Restricted borrower data, is not centrally recorded and could not be reconstructed after an incident.</t>
  </si>
  <si>
    <t xml:space="preserve">Onboard the remaining Aldridge Credit servicing components to Splunk by 31 January 2027. Introduce a logging coverage measure reconciling the asset register against Splunk sources, reported monthly.</t>
  </si>
  <si>
    <t xml:space="preserve">W-10</t>
  </si>
  <si>
    <t xml:space="preserve">A.8.16</t>
  </si>
  <si>
    <t xml:space="preserve">Monitoring activities</t>
  </si>
  <si>
    <t xml:space="preserve">Splunk detection content is mature for payments, identity and cloud. 24/7 SOC monitoring with defined triage.</t>
  </si>
  <si>
    <t xml:space="preserve">Splunk detection content inventory reviewed (188 use cases). No ATT&amp;CK mapping exists. Credit-specific content: 6 use cases.</t>
  </si>
  <si>
    <t xml:space="preserve">Detection coverage is thin for the Aldridge Credit estate, compounded by the logging gap at A.8.15. Detection content has not been mapped to a threat framework, so coverage cannot be demonstrated or measured.</t>
  </si>
  <si>
    <t xml:space="preserve">Map existing detection content to MITRE ATT&amp;CK and identify coverage gaps. Build detection content for Aldridge Credit once logging is onboarded. Report coverage quarterly.</t>
  </si>
  <si>
    <t xml:space="preserve">A.8.17</t>
  </si>
  <si>
    <t xml:space="preserve">Clock synchronisation</t>
  </si>
  <si>
    <t xml:space="preserve">All systems synchronised to Amazon Time Sync Service. Endpoint clocks managed through device management. Log timestamps consistent in UTC.</t>
  </si>
  <si>
    <t xml:space="preserve">NTP configuration inspected across a sample of 12 hosts; all synchronised to Amazon Time Sync.</t>
  </si>
  <si>
    <t xml:space="preserve">A.8.18</t>
  </si>
  <si>
    <t xml:space="preserve">Use of privileged utility programs</t>
  </si>
  <si>
    <t xml:space="preserve">Utility use restricted to privileged access workstations and brokered through CyberArk with session recording. Endpoint application control blocks unsanctioned utilities.</t>
  </si>
  <si>
    <t xml:space="preserve">Application control policy inspected. CyberArk brokering confirmed for utility access.</t>
  </si>
  <si>
    <t xml:space="preserve">A.8.19</t>
  </si>
  <si>
    <t xml:space="preserve">Installation of software on operational systems</t>
  </si>
  <si>
    <t xml:space="preserve">Immutable infrastructure across the Terraform-managed 80%; changes deploy as new images through CI/CD.</t>
  </si>
  <si>
    <t xml:space="preserve">Deployment pipeline configuration reviewed. Uncodified estate confirmed to permit manual installation.</t>
  </si>
  <si>
    <t xml:space="preserve">The 20% of the estate outside Terraform permits manual software installation, without a documented approval or record of what has been installed.</t>
  </si>
  <si>
    <t xml:space="preserve">Extend application control and change recording to the non-codified estate as an interim measure, pending the migration under A.8.9.</t>
  </si>
  <si>
    <t xml:space="preserve">A.8.20</t>
  </si>
  <si>
    <t xml:space="preserve">Networks security</t>
  </si>
  <si>
    <t xml:space="preserve">Security groups, network ACLs and WAF in place. Ingress restricted and egress filtered. Configuration managed as code and monitored by Wiz.</t>
  </si>
  <si>
    <t xml:space="preserve">Security group and WAF configuration inspected. Wiz network exposure findings reviewed.</t>
  </si>
  <si>
    <t xml:space="preserve">A.8.21</t>
  </si>
  <si>
    <t xml:space="preserve">Security of network services</t>
  </si>
  <si>
    <t xml:space="preserve">Network services provided by AWS under a documented shared responsibility model. Zero trust access service for remote connectivity with device posture checks.</t>
  </si>
  <si>
    <t xml:space="preserve">AWS shared responsibility documentation and zero trust access configuration reviewed.</t>
  </si>
  <si>
    <t xml:space="preserve">A.8.22</t>
  </si>
  <si>
    <t xml:space="preserve">Segregation of networks</t>
  </si>
  <si>
    <t xml:space="preserve">CDE, secure data zone, production, non-production, corporate and guest networks are mutually isolated in separate AWS accounts and VPCs. Segmentation validated annually by the QSA.</t>
  </si>
  <si>
    <t xml:space="preserve">Segmentation test report from the 2026 QSA assessment reviewed. VPC and account boundaries inspected.</t>
  </si>
  <si>
    <t xml:space="preserve">A.8.23</t>
  </si>
  <si>
    <t xml:space="preserve">Web filtering</t>
  </si>
  <si>
    <t xml:space="preserve">Secure web gateway filters known malicious and high-risk categories on managed endpoints.</t>
  </si>
  <si>
    <t xml:space="preserve">Secure web gateway category configuration inspected. Confirmed no allow-list enforcement for SaaS categories.</t>
  </si>
  <si>
    <t xml:space="preserve">Filtering blocks malicious destinations but does not prevent access to unsanctioned software as a service, as evidenced by the 40 applications in use without registration.</t>
  </si>
  <si>
    <t xml:space="preserve">Move the web gateway from category blocking to sanctioned-application allow-listing for cloud storage and productivity categories, once the A.5.23 triage has established the sanctioned list.</t>
  </si>
  <si>
    <t xml:space="preserve">A.8.24</t>
  </si>
  <si>
    <t xml:space="preserve">Use of cryptography</t>
  </si>
  <si>
    <t xml:space="preserve">POL-07 and STD-09 issued. Encryption at rest with customer-managed keys for Restricted data. TLS 1.2 minimum in transit. Tokenisation for cardholder data.</t>
  </si>
  <si>
    <t xml:space="preserve">POL-07 and STD-09 reviewed. KMS and Vault key inventory exported 4 Sep 2026: 23 keys without a recorded owner.</t>
  </si>
  <si>
    <t xml:space="preserve">Design adequate; operation deficient (inventory incomplete)</t>
  </si>
  <si>
    <t xml:space="preserve">The cryptographic key inventory is incomplete and ownership of several legacy Aldridge Pay keys is unclear. Key rotation for those keys cannot be evidenced, and it is not certain they could be rotated safely in an incident.</t>
  </si>
  <si>
    <t xml:space="preserve">Complete the key inventory across all AWS KMS, Vault and application-managed keys. Assign a named owner and rotation schedule to each. Remediate or retire keys of unclear provenance.</t>
  </si>
  <si>
    <t xml:space="preserve">W-16</t>
  </si>
  <si>
    <t xml:space="preserve">A.8.25</t>
  </si>
  <si>
    <t xml:space="preserve">Secure development life cycle</t>
  </si>
  <si>
    <t xml:space="preserve">Documented SDLC with mandatory peer review, SAST and SCA in CI, and security testing before release. Secure coding training delivered annually to engineers.</t>
  </si>
  <si>
    <t xml:space="preserve">POL-06 reviewed. Interview: Head of Platform Engineering. No threat model artefacts located in any repository.</t>
  </si>
  <si>
    <t xml:space="preserve">Design deficient (no threat modelling stage)</t>
  </si>
  <si>
    <t xml:space="preserve">The lifecycle has no threat modelling stage. Security requirements are therefore identified late, in testing, rather than at design, and design-level flaws are not systematically found.</t>
  </si>
  <si>
    <t xml:space="preserve">Introduce threat modelling as a required design activity for new services and for material changes to existing ones. Train engineering leads and record models as design artefacts in the repository.</t>
  </si>
  <si>
    <t xml:space="preserve">A.8.27</t>
  </si>
  <si>
    <t xml:space="preserve">A.8.26</t>
  </si>
  <si>
    <t xml:space="preserve">Application security requirements</t>
  </si>
  <si>
    <t xml:space="preserve">Security requirements are applied through platform defaults, shared libraries and the secure coding standard.</t>
  </si>
  <si>
    <t xml:space="preserve">Sample of 12 user stories from 3 teams reviewed: security acceptance criteria present in 2.</t>
  </si>
  <si>
    <t xml:space="preserve">Security requirements are not captured explicitly in user stories or acceptance criteria, so they are not consistently tested or traceable to the delivered feature.</t>
  </si>
  <si>
    <t xml:space="preserve">Add security acceptance criteria to the definition of done. Provide a requirements checklist by application type and sample compliance at release review.</t>
  </si>
  <si>
    <t xml:space="preserve">Secure system architecture and engineering principles</t>
  </si>
  <si>
    <t xml:space="preserve">Architecture review occurs for significant changes. Platform patterns embed secure defaults such as encryption, least privilege and network isolation.</t>
  </si>
  <si>
    <t xml:space="preserve">Architecture review records for 4 significant changes reviewed. No principles document exists.</t>
  </si>
  <si>
    <t xml:space="preserve">Design deficient (principles undocumented, therefore untestable)</t>
  </si>
  <si>
    <t xml:space="preserve">Secure engineering principles are embodied in platform patterns but are not documented as principles, so they are applied by convention and are not testable or auditable.</t>
  </si>
  <si>
    <t xml:space="preserve">Document secure architecture and engineering principles, publish them, and make conformance an explicit item at architecture review with recorded outcomes.</t>
  </si>
  <si>
    <t xml:space="preserve">A.8.28</t>
  </si>
  <si>
    <t xml:space="preserve">Secure coding</t>
  </si>
  <si>
    <t xml:space="preserve">Secure coding standard published by language. SAST enforced in CI with blocking thresholds. Dependency scanning with automated upgrade pull requests. Annual training for engineers.</t>
  </si>
  <si>
    <t xml:space="preserve">Secure coding standard reviewed. SAST configuration inspected: blocking thresholds confirmed on 41 repositories.</t>
  </si>
  <si>
    <t xml:space="preserve">A.8.29</t>
  </si>
  <si>
    <t xml:space="preserve">Security testing in development and acceptance</t>
  </si>
  <si>
    <t xml:space="preserve">SAST, DAST and SCA integrated in CI. Annual external penetration test of production with tracked remediation. Pre-release security testing for material changes.</t>
  </si>
  <si>
    <t xml:space="preserve">CI pipeline configuration inspected. Penetration test report Jun 2026 and retest evidence reviewed.</t>
  </si>
  <si>
    <t xml:space="preserve">A.8.30</t>
  </si>
  <si>
    <t xml:space="preserve">Outsourced development</t>
  </si>
  <si>
    <t xml:space="preserve">No</t>
  </si>
  <si>
    <t xml:space="preserve">All software development is performed in-house by employed engineers and by contractors working within Aldridge teams, under Aldridge management, using Aldridge repositories, tooling and the standard SDLC. No development is outsourced to a supplier.</t>
  </si>
  <si>
    <t xml:space="preserve">Interview: Chief Technology Officer and Head of Platform Engineering. Contractor engagement model reviewed. No outsourced development arrangements identified.</t>
  </si>
  <si>
    <t xml:space="preserve">n/a</t>
  </si>
  <si>
    <t xml:space="preserve">A.8.31</t>
  </si>
  <si>
    <t xml:space="preserve">Separation of development, test and production environments</t>
  </si>
  <si>
    <t xml:space="preserve">Development, test, staging and production run in separate AWS accounts with no network path between them. Separate identity boundaries and credentials.</t>
  </si>
  <si>
    <t xml:space="preserve">AWS account structure inspected. Confirmed no network path between environment accounts.</t>
  </si>
  <si>
    <t xml:space="preserve">A.8.32</t>
  </si>
  <si>
    <t xml:space="preserve">Change management</t>
  </si>
  <si>
    <t xml:space="preserve">Change Advisory Board meets twice weekly. Automated change records from CI/CD for the codified estate. Emergency change procedure documented.</t>
  </si>
  <si>
    <t xml:space="preserve">CAB minutes for 6 weeks reviewed. Change records reconciled to deployment events: 12 unmatched changes in the uncodified estate.</t>
  </si>
  <si>
    <t xml:space="preserve">Design adequate; operation deficient (uncodified estate outside process)</t>
  </si>
  <si>
    <t xml:space="preserve">Changes to the 20% of the estate outside Terraform are semi-manual and not consistently recorded, so a complete change history for the Aldridge Pay estate cannot be produced.</t>
  </si>
  <si>
    <t xml:space="preserve">Require a change record for every production change regardless of estate, enforced by a pre-deployment gate. Reconcile change records to deployment events monthly and investigate unmatched changes.</t>
  </si>
  <si>
    <t xml:space="preserve">Test information</t>
  </si>
  <si>
    <t xml:space="preserve">POL-04 section 6.3 requires synthetic or masked data in non-production. A masking pipeline is available.</t>
  </si>
  <si>
    <t xml:space="preserve">POL-04 s6.3 reviewed. Non-production account inspection identified identifiable borrower data in one test environment.</t>
  </si>
  <si>
    <t xml:space="preserve">Selection and protection of test information is not controlled. Standing exceptions permit production data in test environments that are held to a lower control standard than the source, contrary to POL-04.</t>
  </si>
  <si>
    <t xml:space="preserve">Withdraw standing exceptions and re-approve only with a defined expiry and equivalent controls. Implement automated detection of production data patterns in non-production accounts.</t>
  </si>
  <si>
    <t xml:space="preserve">A.8.34</t>
  </si>
  <si>
    <t xml:space="preserve">Protection of information systems during audit testing</t>
  </si>
  <si>
    <t xml:space="preserve">Audit and assessment activity, including penetration testing and the QSA assessment, is coordinated informally between Internal Audit, Security and Platform Engineering.</t>
  </si>
  <si>
    <t xml:space="preserve">Interview: Head of Internal Audit. No audit testing standard exists. 2026 penetration test scoping correspondence reviewed.</t>
  </si>
  <si>
    <t xml:space="preserve">There is no documented control governing audit testing on operational systems. Scope, timing, access and read-only constraints are agreed case by case with no standing requirements, creating a risk of disruption or unintended change during assessment.</t>
  </si>
  <si>
    <t xml:space="preserve">Document an audit testing standard covering agreement of scope and timing, minimisation of access, read-only preference, logging of audit activity and post-activity review. Apply it to the 2027 penetration test and ISMS internal audit.</t>
  </si>
  <si>
    <t xml:space="preserve">Management System Requirements — clauses 4 to 10</t>
  </si>
  <si>
    <t xml:space="preserve">This is what certification is granted against. Annex A supports these requirements; it does not replace them.</t>
  </si>
  <si>
    <t xml:space="preserve">Clause</t>
  </si>
  <si>
    <t xml:space="preserve">Requirement</t>
  </si>
  <si>
    <t xml:space="preserve">4.1</t>
  </si>
  <si>
    <t xml:space="preserve">Understanding the organisation and its context</t>
  </si>
  <si>
    <t xml:space="preserve">Business context is understood by management and reflected in strategy, but not documented for ISMS purposes.</t>
  </si>
  <si>
    <t xml:space="preserve">Interview: Head of Security Governance, CISO. No context documentation produced on request.</t>
  </si>
  <si>
    <t xml:space="preserve">No documented determination of internal and external issues relevant to the ISMS.</t>
  </si>
  <si>
    <t xml:space="preserve">Document the internal and external issues affecting the ISMS, including regulatory landscape, customer certification demands, growth rate and cloud dependency. Review annually.</t>
  </si>
  <si>
    <t xml:space="preserve">4.2</t>
  </si>
  <si>
    <t xml:space="preserve">Understanding the needs and expectations of interested parties</t>
  </si>
  <si>
    <t xml:space="preserve">Requirements of customers, regulators and payment brands are tracked by Legal in the obligations register.</t>
  </si>
  <si>
    <t xml:space="preserve">Obligations register reviewed. No interested parties register exists.</t>
  </si>
  <si>
    <t xml:space="preserve">Interested parties and their information security requirements are not identified as an ISMS input; the obligations register serves a different purpose and omits parties such as investors and workers.</t>
  </si>
  <si>
    <t xml:space="preserve">Produce an interested parties register mapping each party to its information security requirements and to the controls that satisfy them.</t>
  </si>
  <si>
    <t xml:space="preserve">4.3</t>
  </si>
  <si>
    <t xml:space="preserve">Determining the scope of the information security management system</t>
  </si>
  <si>
    <t xml:space="preserve">A draft scope statement exists covering the three platforms, the AWS regions and both offices.</t>
  </si>
  <si>
    <t xml:space="preserve">Draft scope statement v0.3 reviewed, undated and unapproved.</t>
  </si>
  <si>
    <t xml:space="preserve">Scope is drafted but not approved, and cannot be finalised while approximately 40 SaaS applications remain unregistered and therefore unassessed for inclusion.</t>
  </si>
  <si>
    <t xml:space="preserve">Complete the SaaS triage under A.5.23, then finalise and approve the scope statement at the ERC with documented boundaries and interfaces.</t>
  </si>
  <si>
    <t xml:space="preserve">A.5.23, A.5.9</t>
  </si>
  <si>
    <t xml:space="preserve">4.4</t>
  </si>
  <si>
    <t xml:space="preserve">Information security management system</t>
  </si>
  <si>
    <t xml:space="preserve">Security controls operate effectively but are not organised or maintained as a management system.</t>
  </si>
  <si>
    <t xml:space="preserve">Assessment of the ISMS as a whole across this engagement.</t>
  </si>
  <si>
    <t xml:space="preserve">The ISMS does not exist as an established, implemented and continually improved system. Processes and their interactions are not defined.</t>
  </si>
  <si>
    <t xml:space="preserve">Establish the ISMS: define its processes, their sequence and interaction, and the criteria for their operation. This is the umbrella activity that the other clause gaps sit within.</t>
  </si>
  <si>
    <t xml:space="preserve">4.1, 4.2, 4.3</t>
  </si>
  <si>
    <t xml:space="preserve">5.1</t>
  </si>
  <si>
    <t xml:space="preserve">Leadership and commitment</t>
  </si>
  <si>
    <t xml:space="preserve">The ERC is genuinely engaged and the CEO chairs it. Security investment has been approved.</t>
  </si>
  <si>
    <t xml:space="preserve">ERC minutes Mar-Aug 2026 reviewed. Budget approval for the certification programme evidenced Jul 2026.</t>
  </si>
  <si>
    <t xml:space="preserve">Commitment is real but undocumented against ISMS requirements. No evidence that leadership ensures ISMS requirements are integrated into business processes or that resources are determined for the ISMS specifically.</t>
  </si>
  <si>
    <t xml:space="preserve">Document leadership commitment in POL-05. Record ISMS resourcing decisions and integration requirements in ERC minutes.</t>
  </si>
  <si>
    <t xml:space="preserve">Priya Raghunathan</t>
  </si>
  <si>
    <t xml:space="preserve">Policy</t>
  </si>
  <si>
    <t xml:space="preserve">Tier 2 policies are strong and current. No Tier 1 apex policy exists.</t>
  </si>
  <si>
    <t xml:space="preserve">Policy library index reviewed. No Tier 1 policy exists.</t>
  </si>
  <si>
    <t xml:space="preserve">There is no information security policy that establishes the ISMS, states objectives, includes a commitment to satisfy applicable requirements and to continual improvement, and is communicated as such.</t>
  </si>
  <si>
    <t xml:space="preserve">Draft and approve AFT-ISMS-POL-05 to satisfy clause 5.2 in full. Communicate to all workers and make available to interested parties.</t>
  </si>
  <si>
    <t xml:space="preserve">5.3</t>
  </si>
  <si>
    <t xml:space="preserve">Organisational roles, responsibilities and authorities</t>
  </si>
  <si>
    <t xml:space="preserve">Security roles exist and are staffed. Responsibilities appear across individual policies.</t>
  </si>
  <si>
    <t xml:space="preserve">Role descriptions for the security function reviewed. No ISMS reporting responsibility assigned.</t>
  </si>
  <si>
    <t xml:space="preserve">ISMS conformance reporting responsibility is not assigned. No single accountable owner is documented for reporting ISMS performance to top management.</t>
  </si>
  <si>
    <t xml:space="preserve">Assign and document ISMS responsibilities and authorities, including the person responsible for reporting ISMS performance to the ERC.</t>
  </si>
  <si>
    <t xml:space="preserve">6.1.1</t>
  </si>
  <si>
    <t xml:space="preserve">Actions to address risks and opportunities</t>
  </si>
  <si>
    <t xml:space="preserve">Risks are discussed at the ERC and captured in a spreadsheet.</t>
  </si>
  <si>
    <t xml:space="preserve">Risk spreadsheet reviewed. No ISMS-level risks and opportunities documented.</t>
  </si>
  <si>
    <t xml:space="preserve">No documented determination of the risks and opportunities that need to be addressed to give assurance the ISMS can achieve its intended outcomes.</t>
  </si>
  <si>
    <t xml:space="preserve">Document risks and opportunities to the ISMS itself, distinct from information security risks, and the actions to address them.</t>
  </si>
  <si>
    <t xml:space="preserve">6.1.2</t>
  </si>
  <si>
    <t xml:space="preserve">Information security risk assessment</t>
  </si>
  <si>
    <t xml:space="preserve">Risk is tracked in a spreadsheet maintained by the Head of Security Governance. Assessment is performed by judgement without a defined method.</t>
  </si>
  <si>
    <t xml:space="preserve">Risk spreadsheet reviewed (41 entries, last updated Jun 2026). No methodology document exists.</t>
  </si>
  <si>
    <t xml:space="preserve">No documented risk assessment process defining risk acceptance criteria, criteria for performing assessments, risk identification method, or how consistent, valid and comparable results are ensured.</t>
  </si>
  <si>
    <t xml:space="preserve">Define and document the risk assessment methodology, using the impact, likelihood and rating scales in AFT-CTX-01. Deliverable AFT-ISMS-RSK-01 will apply it.</t>
  </si>
  <si>
    <t xml:space="preserve">6.1.3</t>
  </si>
  <si>
    <t xml:space="preserve">Information security risk treatment</t>
  </si>
  <si>
    <t xml:space="preserve">Remediation happens but is not framed as risk treatment. Statement of Applicability exists only as draft v0.3.</t>
  </si>
  <si>
    <t xml:space="preserve">SoA draft v0.3 reviewed. No risk treatment plan exists. No risk owner approvals located.</t>
  </si>
  <si>
    <t xml:space="preserve">No risk treatment process, no risk treatment plan, and no approved Statement of Applicability. Risk owners have not formally approved treatment plans or accepted residual risk.</t>
  </si>
  <si>
    <t xml:space="preserve">Define the risk treatment process. Complete and approve the Statement of Applicability covering all 93 Annex A controls with inclusion or exclusion justification. Produce a risk treatment plan and obtain risk owner approval.</t>
  </si>
  <si>
    <t xml:space="preserve">6.1.2, 8.2</t>
  </si>
  <si>
    <t xml:space="preserve">6.2</t>
  </si>
  <si>
    <t xml:space="preserve">Information security objectives and planning to achieve them</t>
  </si>
  <si>
    <t xml:space="preserve">Security has departmental goals but no ISMS objectives.</t>
  </si>
  <si>
    <t xml:space="preserve">Security team OKRs reviewed. These are departmental goals, not ISMS objectives under clause 6.2.</t>
  </si>
  <si>
    <t xml:space="preserve">No documented information security objectives that are measurable, monitored, communicated and updated, with plans stating what will be done, by whom, when and how results are evaluated.</t>
  </si>
  <si>
    <t xml:space="preserve">Set measurable information security objectives aligned to risk appetite, with owners, timescales and evaluation method. Approve at the ERC and report progress quarterly.</t>
  </si>
  <si>
    <t xml:space="preserve">5.2, 6.1.2</t>
  </si>
  <si>
    <t xml:space="preserve">6.3</t>
  </si>
  <si>
    <t xml:space="preserve">Planning of changes</t>
  </si>
  <si>
    <t xml:space="preserve">Technical change is well controlled through the CAB. ISMS change is not.</t>
  </si>
  <si>
    <t xml:space="preserve">Interview: Head of Security Governance. No ISMS change process exists.</t>
  </si>
  <si>
    <t xml:space="preserve">Changes to the ISMS itself are not planned in a determined manner.</t>
  </si>
  <si>
    <t xml:space="preserve">Define how ISMS changes are proposed, assessed and approved, and record them.</t>
  </si>
  <si>
    <t xml:space="preserve">7.1</t>
  </si>
  <si>
    <t xml:space="preserve">Resources</t>
  </si>
  <si>
    <t xml:space="preserve">Security function is resourced with 14 staff and an approved budget. Certification programme funded.</t>
  </si>
  <si>
    <t xml:space="preserve">Organisation chart and approved budget reviewed. Security function headcount 14.</t>
  </si>
  <si>
    <t xml:space="preserve">7.2</t>
  </si>
  <si>
    <t xml:space="preserve">Competence</t>
  </si>
  <si>
    <t xml:space="preserve">Security staff hold relevant certifications. Training budget available. Competence is managed through normal performance processes.</t>
  </si>
  <si>
    <t xml:space="preserve">Certification records for the security team reviewed. No competence requirements documented for ISMS roles.</t>
  </si>
  <si>
    <t xml:space="preserve">Competence requirements for ISMS roles are not documented, and evidence of competence is not retained as documented information.</t>
  </si>
  <si>
    <t xml:space="preserve">Define competence requirements for each ISMS role, assess current holders against them, and retain evidence.</t>
  </si>
  <si>
    <t xml:space="preserve">7.3</t>
  </si>
  <si>
    <t xml:space="preserve">Awareness</t>
  </si>
  <si>
    <t xml:space="preserve">Annual training at 91% completion. Policies communicated at onboarding.</t>
  </si>
  <si>
    <t xml:space="preserve">KnowBe4 completion report reviewed: 91.0%. Awareness of the policy not evidenced for the residual 9%.</t>
  </si>
  <si>
    <t xml:space="preserve">Awareness of the information security policy and of the implications of not conforming is not evidenced for the 9% who have not completed training, concentrated in Sales and London.</t>
  </si>
  <si>
    <t xml:space="preserve">Close the completion gap to above 98% and evidence it. Deliver AFT-ISMS-PRG-01 with escalation for non-completion.</t>
  </si>
  <si>
    <t xml:space="preserve">7.4</t>
  </si>
  <si>
    <t xml:space="preserve">Communication</t>
  </si>
  <si>
    <t xml:space="preserve">Security communicates through Slack, all-hands and targeted briefings. Effective in practice.</t>
  </si>
  <si>
    <t xml:space="preserve">Interview: Director of Corporate Communications. No ISMS communication plan exists.</t>
  </si>
  <si>
    <t xml:space="preserve">Internal and external communications relevant to the ISMS are not determined: what, when, with whom and how is not documented.</t>
  </si>
  <si>
    <t xml:space="preserve">Document an ISMS communication plan covering internal and external audiences, triggers and channels.</t>
  </si>
  <si>
    <t xml:space="preserve">Nadia Haddad</t>
  </si>
  <si>
    <t xml:space="preserve">7.5</t>
  </si>
  <si>
    <t xml:space="preserve">Documented information</t>
  </si>
  <si>
    <t xml:space="preserve">Policies are version controlled in Google Drive. Registers are held across five spreadsheets with no version control, no approval record and no retention rule.</t>
  </si>
  <si>
    <t xml:space="preserve">Five compliance spreadsheets inspected. Policy library version control confirmed adequate; registers not.</t>
  </si>
  <si>
    <t xml:space="preserve">Control of documented information is inadequate. Creation, update, approval, version control, distribution and retention are not consistently applied outside the policy set.</t>
  </si>
  <si>
    <t xml:space="preserve">Implement GRC tooling as the controlled repository for ISMS documented information, with approval workflow, versioning and access control.</t>
  </si>
  <si>
    <t xml:space="preserve">8.1</t>
  </si>
  <si>
    <t xml:space="preserve">Operational planning and control</t>
  </si>
  <si>
    <t xml:space="preserve">Security operations run to defined runbooks in the SOC and platform teams. Coverage is patchy elsewhere.</t>
  </si>
  <si>
    <t xml:space="preserve">SOC and platform runbooks reviewed. Coverage assessed against the ISMS process set: incomplete.</t>
  </si>
  <si>
    <t xml:space="preserve">Processes needed to meet information security requirements are not all planned, implemented and controlled with retained documented information demonstrating they were carried out as planned.</t>
  </si>
  <si>
    <t xml:space="preserve">Identify the ISMS operational processes, document them, and define the evidence each produces.</t>
  </si>
  <si>
    <t xml:space="preserve">8.2</t>
  </si>
  <si>
    <t xml:space="preserve">Information security risk assessment (performance)</t>
  </si>
  <si>
    <t xml:space="preserve">No risk assessments have been performed to a defined methodology at planned intervals.</t>
  </si>
  <si>
    <t xml:space="preserve">No risk assessment records located at any interval.</t>
  </si>
  <si>
    <t xml:space="preserve">Risk assessments are not performed at planned intervals or when significant changes occur, and results are not retained as documented information.</t>
  </si>
  <si>
    <t xml:space="preserve">Perform the first full risk assessment under the new methodology (AFT-ISMS-RSK-01). Set a planned interval of at least annually and on significant change.</t>
  </si>
  <si>
    <t xml:space="preserve">8.3</t>
  </si>
  <si>
    <t xml:space="preserve">Information security risk treatment (performance)</t>
  </si>
  <si>
    <t xml:space="preserve">Remediation is tracked but not as risk treatment against an approved plan.</t>
  </si>
  <si>
    <t xml:space="preserve">No risk treatment plan or implementation records located.</t>
  </si>
  <si>
    <t xml:space="preserve">The risk treatment plan does not exist and therefore is not implemented, and results are not retained.</t>
  </si>
  <si>
    <t xml:space="preserve">Produce the risk treatment plan from the risk assessment output, obtain risk owner approval, and track implementation to closure.</t>
  </si>
  <si>
    <t xml:space="preserve">9.1</t>
  </si>
  <si>
    <t xml:space="preserve">Monitoring, measurement, analysis and evaluation</t>
  </si>
  <si>
    <t xml:space="preserve">Operational security metrics are produced monthly: patching SLA, access recertification, phishing results, incident volumes.</t>
  </si>
  <si>
    <t xml:space="preserve">Monthly security metrics pack reviewed (Jun-Aug 2026). Metrics measure activity, not ISMS effectiveness.</t>
  </si>
  <si>
    <t xml:space="preserve">Metrics measure activity, not ISMS effectiveness. What needs to be monitored, the methods, and when results are analysed and evaluated are not determined for the ISMS.</t>
  </si>
  <si>
    <t xml:space="preserve">Define ISMS performance measures tied to the information security objectives, with methods, frequency and responsibility. Report to the ERC quarterly.</t>
  </si>
  <si>
    <t xml:space="preserve">Internal audit</t>
  </si>
  <si>
    <t xml:space="preserve">Internal Audit is independent, reports to the Audit Committee, and audits security topics within its annual plan.</t>
  </si>
  <si>
    <t xml:space="preserve">Internal Audit 2026 plan and charter reviewed. No ISMS audit programme exists.</t>
  </si>
  <si>
    <t xml:space="preserve">No internal audit programme covering the ISMS against ISO/IEC 27001 requirements exists. Audit criteria, scope, frequency and methods for the ISMS have not been defined.</t>
  </si>
  <si>
    <t xml:space="preserve">Establish an ISMS internal audit programme covering all clauses and applicable Annex A controls across a defined cycle. Perform at least one full internal audit before the Stage 2 assessment.</t>
  </si>
  <si>
    <t xml:space="preserve">4.4, 8.2</t>
  </si>
  <si>
    <t xml:space="preserve">9.3</t>
  </si>
  <si>
    <t xml:space="preserve">Management review</t>
  </si>
  <si>
    <t xml:space="preserve">The ERC receives security reporting monthly and makes decisions on it.</t>
  </si>
  <si>
    <t xml:space="preserve">ERC minutes reviewed for clause 9.3 inputs. None of the required agenda items evidenced.</t>
  </si>
  <si>
    <t xml:space="preserve">No management review is conducted against the clause 9.3 inputs: audit results, interested party feedback, risk assessment status, objectives performance, nonconformities and improvement opportunities. No management review records exist.</t>
  </si>
  <si>
    <t xml:space="preserve">Establish a formal management review at least annually, with the clause 9.3 agenda, held at the ERC and minuted as documented information.</t>
  </si>
  <si>
    <t xml:space="preserve">9.2, 9.1</t>
  </si>
  <si>
    <t xml:space="preserve">10.1</t>
  </si>
  <si>
    <t xml:space="preserve">Continual improvement</t>
  </si>
  <si>
    <t xml:space="preserve">Improvement occurs through post-incident review actions and audit findings.</t>
  </si>
  <si>
    <t xml:space="preserve">Assessed across the engagement. Improvement occurs but is not demonstrable as ISMS improvement.</t>
  </si>
  <si>
    <t xml:space="preserve">Continual improvement of the suitability, adequacy and effectiveness of the ISMS is not demonstrable because the ISMS is not established.</t>
  </si>
  <si>
    <t xml:space="preserve">Once the ISMS is established, evidence improvement through management review outputs, objective performance trends and closed corrective actions.</t>
  </si>
  <si>
    <t xml:space="preserve">10.2</t>
  </si>
  <si>
    <t xml:space="preserve">Nonconformity and corrective action</t>
  </si>
  <si>
    <t xml:space="preserve">Incident post-incident reviews produce actions tracked to closure. Audit findings are tracked by Internal Audit.</t>
  </si>
  <si>
    <t xml:space="preserve">Post-incident review process reviewed. No ISMS nonconformity process exists.</t>
  </si>
  <si>
    <t xml:space="preserve">No ISMS nonconformity process exists. Root cause analysis, evaluation of whether similar nonconformities exist, and retention of records of the nature of nonconformities and subsequent actions are not defined for the ISMS.</t>
  </si>
  <si>
    <t xml:space="preserve">Define a nonconformity and corrective action process covering identification, containment, root cause analysis, corrective action and effectiveness review. Hold records in the GRC platform.</t>
  </si>
  <si>
    <t xml:space="preserve">Remediation Plan</t>
  </si>
  <si>
    <t xml:space="preserve">Gaps grouped into delivery workstreams. Status column is for the programme to maintain.</t>
  </si>
  <si>
    <t xml:space="preserve">Workstream / Ref</t>
  </si>
  <si>
    <t xml:space="preserve">Item</t>
  </si>
  <si>
    <t xml:space="preserve">Action</t>
  </si>
  <si>
    <t xml:space="preserve">External cost</t>
  </si>
  <si>
    <t xml:space="preserve">Notes</t>
  </si>
  <si>
    <t xml:space="preserve">WS1 — Establish the management system</t>
  </si>
  <si>
    <t xml:space="preserve">Lead: Chidi Eze — The clause 4-10 build. Without this there is nothing to certify.</t>
  </si>
  <si>
    <t xml:space="preserve">Not started</t>
  </si>
  <si>
    <t xml:space="preserve">WS2 — Asset and cloud scope integrity</t>
  </si>
  <si>
    <t xml:space="preserve">Lead: Claire Bennett — The SaaS estate must be known before scope can be approved or risk assessed.</t>
  </si>
  <si>
    <t xml:space="preserve">WS3 — Third-party risk</t>
  </si>
  <si>
    <t xml:space="preserve">Lead: Elena Petrova — Clear the reassessment backlog and extend to the onward supply chain.</t>
  </si>
  <si>
    <t xml:space="preserve">WS4 — Data lifecycle and retention</t>
  </si>
  <si>
    <t xml:space="preserve">Lead: Claire Bennett — Enforce retention technically; close the storage limitation exposure.</t>
  </si>
  <si>
    <t xml:space="preserve">WS5 — Detection and logging coverage</t>
  </si>
  <si>
    <t xml:space="preserve">Lead: Tomas Vidal — Complete logging across Aldridge Credit and formalise threat intelligence.</t>
  </si>
  <si>
    <t xml:space="preserve">WS6 — Platform hardening and change</t>
  </si>
  <si>
    <t xml:space="preserve">Lead: Sanjay Mehta — Codify the residual Aldridge Pay estate; complete the key inventory.</t>
  </si>
  <si>
    <t xml:space="preserve">WS7 — Secure engineering</t>
  </si>
  <si>
    <t xml:space="preserve">Lead: Marcus Lindqvist — Introduce threat modelling and document engineering principles.</t>
  </si>
  <si>
    <t xml:space="preserve">WS8 — Resilience assurance</t>
  </si>
  <si>
    <t xml:space="preserve">Lead: Sanjay Mehta — Prove the recovery objectives that are currently only designed.</t>
  </si>
  <si>
    <t xml:space="preserve">WS9 — People and awareness</t>
  </si>
  <si>
    <t xml:space="preserve">Lead: Helen Achebe-Ward — Close training completion and link simulation results to intervention.</t>
  </si>
  <si>
    <t xml:space="preserve">WS10 — Physical security, London</t>
  </si>
  <si>
    <t xml:space="preserve">Lead: Grace Lindberg — Resolve or formally accept the landlord dependency.</t>
  </si>
  <si>
    <t xml:space="preserve">WS11 — Assurance and audit</t>
  </si>
  <si>
    <t xml:space="preserve">Lead: Faisal Rahman — Independent review of the ISMS and control of audit activity.</t>
  </si>
  <si>
    <t xml:space="preserve">CAPACITY CHECK</t>
  </si>
  <si>
    <t xml:space="preserve">Lead</t>
  </si>
  <si>
    <t xml:space="preserve">Person-days assigned</t>
  </si>
  <si>
    <t xml:space="preserve">Working days available to 31 Mar 2027</t>
  </si>
  <si>
    <t xml:space="preserve">Load</t>
  </si>
  <si>
    <t xml:space="preserve">Assessment</t>
  </si>
  <si>
    <t xml:space="preserve">Not deliverable at current resourcing</t>
  </si>
  <si>
    <t xml:space="preserve">Deliverable only with no other duties</t>
  </si>
  <si>
    <t xml:space="preserve">Deliverable alongside existing duties</t>
  </si>
  <si>
    <t xml:space="preserve">PROGRAMME TOTAL: 914 internal person-days and approximately $461,000 of external spend, excluding the certification body fee. At a blended internal rate of $900/day the internal effort is approximately $822,600, giving an indicative programme cost of about $1,283,600. The capacity table above is the material finding: the effort assigned to the two heaviest leads exceeds the working days available to them before the Phase 2 deadline, and both hold substantial business-as-usual responsibilities. The plan is not deliverable as assigned. Either a dedicated ISMS manager is appointed and workstreams are reassigned, or the timetable moves. Approving this plan without resolving that is how certification programmes slip six months without anyone deciding that they should.</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</si>
</sst>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
  </numFmts>
  <fonts count="17">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44546A"/>
      <name val="Arial"/>
      <family val="0"/>
      <charset val="1"/>
    </font>
    <font>
      <sz val="10"/>
      <color rgb="FF000000"/>
      <name val="Arial"/>
      <family val="0"/>
      <charset val="1"/>
    </font>
    <font>
      <sz val="10"/>
      <name val="Arial"/>
      <family val="0"/>
      <charset val="1"/>
    </font>
    <font>
      <b val="true"/>
      <sz val="10"/>
      <color rgb="FF1F3864"/>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i val="true"/>
      <sz val="10"/>
      <name val="Arial"/>
      <family val="0"/>
      <charset val="1"/>
    </font>
    <font>
      <b val="true"/>
      <sz val="9"/>
      <name val="Arial"/>
      <family val="0"/>
      <charset val="1"/>
    </font>
    <font>
      <sz val="9"/>
      <name val="Arial"/>
      <family val="0"/>
      <charset val="1"/>
    </font>
    <font>
      <i val="true"/>
      <sz val="9"/>
      <color rgb="FFFFFFFF"/>
      <name val="Arial"/>
      <family val="0"/>
      <charset val="1"/>
    </font>
    <font>
      <b val="true"/>
      <sz val="11"/>
      <color rgb="FFFFFFFF"/>
      <name val="Arial"/>
      <family val="0"/>
      <charset val="1"/>
    </font>
  </fonts>
  <fills count="13">
    <fill>
      <patternFill patternType="none"/>
    </fill>
    <fill>
      <patternFill patternType="gray125"/>
    </fill>
    <fill>
      <patternFill patternType="solid">
        <fgColor rgb="FFD6DCE8"/>
        <bgColor rgb="FFDCE6D5"/>
      </patternFill>
    </fill>
    <fill>
      <patternFill patternType="solid">
        <fgColor rgb="FF1F3864"/>
        <bgColor rgb="FF333333"/>
      </patternFill>
    </fill>
    <fill>
      <patternFill patternType="solid">
        <fgColor rgb="FFD9EAD3"/>
        <bgColor rgb="FFDCE6D5"/>
      </patternFill>
    </fill>
    <fill>
      <patternFill patternType="solid">
        <fgColor rgb="FFFCEBA4"/>
        <bgColor rgb="FFFFF2CC"/>
      </patternFill>
    </fill>
    <fill>
      <patternFill patternType="solid">
        <fgColor rgb="FFF4B7B7"/>
        <bgColor rgb="FFF8D7A3"/>
      </patternFill>
    </fill>
    <fill>
      <patternFill patternType="solid">
        <fgColor rgb="FFE8E8E8"/>
        <bgColor rgb="FFDCE6D5"/>
      </patternFill>
    </fill>
    <fill>
      <patternFill patternType="solid">
        <fgColor rgb="FFF8D7A3"/>
        <bgColor rgb="FFFCEBA4"/>
      </patternFill>
    </fill>
    <fill>
      <patternFill patternType="solid">
        <fgColor rgb="FFDCE6D5"/>
        <bgColor rgb="FFD9EAD3"/>
      </patternFill>
    </fill>
    <fill>
      <patternFill patternType="solid">
        <fgColor rgb="FFF2F4F8"/>
        <bgColor rgb="FFFFFFFF"/>
      </patternFill>
    </fill>
    <fill>
      <patternFill patternType="solid">
        <fgColor rgb="FF44546A"/>
        <bgColor rgb="FF1F3864"/>
      </patternFill>
    </fill>
    <fill>
      <patternFill patternType="solid">
        <fgColor rgb="FFFFF2CC"/>
        <bgColor rgb="FFFCEBA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64" fontId="14" fillId="10" borderId="1" xfId="0" applyFont="true" applyBorder="true" applyAlignment="true" applyProtection="false">
      <alignment horizontal="general" vertical="top" textRotation="0" wrapText="tru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7" fontId="14" fillId="10"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0" fillId="11" borderId="0" xfId="0" applyFont="true" applyBorder="false" applyAlignment="false" applyProtection="false">
      <alignment horizontal="general" vertical="bottom" textRotation="0" wrapText="false" indent="0" shrinkToFit="false"/>
      <protection locked="true" hidden="false"/>
    </xf>
    <xf numFmtId="164" fontId="15" fillId="11"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general" vertical="top" textRotation="0" wrapText="tru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8" fontId="14" fillId="6"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8" fontId="14" fillId="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8" fontId="14"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4F8"/>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8E8E8"/>
          <bgColor rgb="FF000000"/>
        </patternFill>
      </fill>
    </dxf>
    <dxf>
      <fill>
        <patternFill patternType="solid">
          <fgColor rgb="FFF4B7B7"/>
          <bgColor rgb="FF000000"/>
        </patternFill>
      </fill>
    </dxf>
    <dxf>
      <fill>
        <patternFill patternType="solid">
          <fgColor rgb="FFFCEBA4"/>
          <bgColor rgb="FF000000"/>
        </patternFill>
      </fill>
    </dxf>
    <dxf>
      <fill>
        <patternFill patternType="solid">
          <fgColor rgb="FFDCE6D5"/>
          <bgColor rgb="FF000000"/>
        </patternFill>
      </fill>
    </dxf>
    <dxf>
      <fill>
        <patternFill patternType="solid">
          <fgColor rgb="FFF8D7A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4F8"/>
      <rgbColor rgb="FF660066"/>
      <rgbColor rgb="FFFF8080"/>
      <rgbColor rgb="FF0066CC"/>
      <rgbColor rgb="FFD6DCE8"/>
      <rgbColor rgb="FF000080"/>
      <rgbColor rgb="FFFF00FF"/>
      <rgbColor rgb="FFFFFF00"/>
      <rgbColor rgb="FF00FFFF"/>
      <rgbColor rgb="FF800080"/>
      <rgbColor rgb="FF800000"/>
      <rgbColor rgb="FF008080"/>
      <rgbColor rgb="FF0000FF"/>
      <rgbColor rgb="FF00CCFF"/>
      <rgbColor rgb="FFE8E8E8"/>
      <rgbColor rgb="FFD9EAD3"/>
      <rgbColor rgb="FFFCEBA4"/>
      <rgbColor rgb="FFDCE6D5"/>
      <rgbColor rgb="FFF4B7B7"/>
      <rgbColor rgb="FFCC99FF"/>
      <rgbColor rgb="FFF8D7A3"/>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21.7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c r="B4" s="4"/>
    </row>
    <row r="5" customFormat="false" ht="15" hidden="false" customHeight="false" outlineLevel="0" collapsed="false">
      <c r="A5" s="5" t="s">
        <v>2</v>
      </c>
      <c r="B5" s="5"/>
      <c r="C5" s="5"/>
      <c r="D5" s="5"/>
      <c r="E5" s="5"/>
      <c r="F5" s="5"/>
    </row>
    <row r="6" customFormat="false" ht="15" hidden="false" customHeight="false" outlineLevel="0" collapsed="false">
      <c r="A6" s="3" t="s">
        <v>3</v>
      </c>
      <c r="B6" s="4" t="s">
        <v>4</v>
      </c>
    </row>
    <row r="7" customFormat="false" ht="15" hidden="false" customHeight="false" outlineLevel="0" collapsed="false">
      <c r="A7" s="3" t="s">
        <v>5</v>
      </c>
      <c r="B7" s="4" t="s">
        <v>6</v>
      </c>
    </row>
    <row r="8" customFormat="false" ht="15" hidden="false" customHeight="false" outlineLevel="0" collapsed="false">
      <c r="A8" s="3" t="s">
        <v>7</v>
      </c>
      <c r="B8" s="4" t="s">
        <v>8</v>
      </c>
    </row>
    <row r="9" customFormat="false" ht="15" hidden="false" customHeight="false" outlineLevel="0" collapsed="false">
      <c r="A9" s="3" t="s">
        <v>9</v>
      </c>
      <c r="B9" s="4" t="s">
        <v>10</v>
      </c>
    </row>
    <row r="10" customFormat="false" ht="15" hidden="false" customHeight="false" outlineLevel="0" collapsed="false">
      <c r="A10" s="3" t="s">
        <v>11</v>
      </c>
      <c r="B10" s="4" t="s">
        <v>12</v>
      </c>
    </row>
    <row r="11" customFormat="false" ht="23.85" hidden="false" customHeight="false" outlineLevel="0" collapsed="false">
      <c r="A11" s="3" t="s">
        <v>13</v>
      </c>
      <c r="B11" s="4" t="s">
        <v>14</v>
      </c>
    </row>
    <row r="12" customFormat="false" ht="15" hidden="false" customHeight="false" outlineLevel="0" collapsed="false">
      <c r="A12" s="3" t="s">
        <v>15</v>
      </c>
      <c r="B12" s="4" t="s">
        <v>16</v>
      </c>
    </row>
    <row r="13" customFormat="false" ht="15" hidden="false" customHeight="false" outlineLevel="0" collapsed="false">
      <c r="A13" s="3"/>
      <c r="B13" s="4"/>
    </row>
    <row r="14" customFormat="false" ht="15" hidden="false" customHeight="false" outlineLevel="0" collapsed="false">
      <c r="A14" s="5" t="s">
        <v>17</v>
      </c>
      <c r="B14" s="5"/>
      <c r="C14" s="5"/>
      <c r="D14" s="5"/>
      <c r="E14" s="5"/>
      <c r="F14" s="5"/>
    </row>
    <row r="15" customFormat="false" ht="35.05" hidden="false" customHeight="false" outlineLevel="0" collapsed="false">
      <c r="A15" s="3"/>
      <c r="B15" s="4" t="s">
        <v>18</v>
      </c>
    </row>
    <row r="16" customFormat="false" ht="15" hidden="false" customHeight="false" outlineLevel="0" collapsed="false">
      <c r="A16" s="3"/>
      <c r="B16" s="4"/>
    </row>
    <row r="17" customFormat="false" ht="15" hidden="false" customHeight="false" outlineLevel="0" collapsed="false">
      <c r="A17" s="5" t="s">
        <v>19</v>
      </c>
      <c r="B17" s="5"/>
      <c r="C17" s="5"/>
      <c r="D17" s="5"/>
      <c r="E17" s="5"/>
      <c r="F17" s="5"/>
    </row>
    <row r="18" customFormat="false" ht="15" hidden="false" customHeight="false" outlineLevel="0" collapsed="false">
      <c r="A18" s="3" t="s">
        <v>20</v>
      </c>
      <c r="B18" s="4" t="s">
        <v>21</v>
      </c>
    </row>
    <row r="19" customFormat="false" ht="15" hidden="false" customHeight="false" outlineLevel="0" collapsed="false">
      <c r="A19" s="3" t="s">
        <v>22</v>
      </c>
      <c r="B19" s="4" t="s">
        <v>23</v>
      </c>
    </row>
    <row r="20" customFormat="false" ht="15" hidden="false" customHeight="false" outlineLevel="0" collapsed="false">
      <c r="A20" s="3" t="s">
        <v>24</v>
      </c>
      <c r="B20" s="4" t="s">
        <v>25</v>
      </c>
    </row>
    <row r="21" customFormat="false" ht="15" hidden="false" customHeight="false" outlineLevel="0" collapsed="false">
      <c r="A21" s="3" t="s">
        <v>26</v>
      </c>
      <c r="B21" s="4" t="s">
        <v>27</v>
      </c>
    </row>
    <row r="22" customFormat="false" ht="15" hidden="false" customHeight="false" outlineLevel="0" collapsed="false">
      <c r="A22" s="3"/>
      <c r="B22" s="4"/>
    </row>
    <row r="23" customFormat="false" ht="15" hidden="false" customHeight="false" outlineLevel="0" collapsed="false">
      <c r="A23" s="5" t="s">
        <v>28</v>
      </c>
      <c r="B23" s="5"/>
      <c r="C23" s="5"/>
      <c r="D23" s="5"/>
      <c r="E23" s="5"/>
      <c r="F23" s="5"/>
    </row>
    <row r="24" customFormat="false" ht="15" hidden="false" customHeight="false" outlineLevel="0" collapsed="false">
      <c r="A24" s="3" t="s">
        <v>29</v>
      </c>
      <c r="B24" s="4" t="s">
        <v>30</v>
      </c>
    </row>
    <row r="25" customFormat="false" ht="15" hidden="false" customHeight="false" outlineLevel="0" collapsed="false">
      <c r="A25" s="3" t="s">
        <v>31</v>
      </c>
      <c r="B25" s="4" t="s">
        <v>32</v>
      </c>
    </row>
    <row r="26" customFormat="false" ht="15" hidden="false" customHeight="false" outlineLevel="0" collapsed="false">
      <c r="A26" s="3" t="s">
        <v>33</v>
      </c>
      <c r="B26" s="4" t="s">
        <v>34</v>
      </c>
    </row>
    <row r="27" customFormat="false" ht="15" hidden="false" customHeight="false" outlineLevel="0" collapsed="false">
      <c r="A27" s="3" t="s">
        <v>35</v>
      </c>
      <c r="B27" s="4" t="s">
        <v>36</v>
      </c>
    </row>
    <row r="28" customFormat="false" ht="15" hidden="false" customHeight="false" outlineLevel="0" collapsed="false">
      <c r="A28" s="3" t="s">
        <v>37</v>
      </c>
      <c r="B28" s="4" t="s">
        <v>38</v>
      </c>
    </row>
    <row r="29" customFormat="false" ht="15" hidden="false" customHeight="false" outlineLevel="0" collapsed="false">
      <c r="A29" s="3" t="s">
        <v>39</v>
      </c>
      <c r="B29" s="4" t="s">
        <v>40</v>
      </c>
    </row>
    <row r="30" customFormat="false" ht="15" hidden="false" customHeight="false" outlineLevel="0" collapsed="false">
      <c r="A30" s="3" t="s">
        <v>41</v>
      </c>
      <c r="B30" s="4" t="s">
        <v>42</v>
      </c>
    </row>
    <row r="31" customFormat="false" ht="15" hidden="false" customHeight="false" outlineLevel="0" collapsed="false">
      <c r="A31" s="3"/>
      <c r="B31" s="4"/>
    </row>
    <row r="32" customFormat="false" ht="15" hidden="false" customHeight="false" outlineLevel="0" collapsed="false">
      <c r="A32" s="5" t="s">
        <v>43</v>
      </c>
      <c r="B32" s="5"/>
      <c r="C32" s="5"/>
      <c r="D32" s="5"/>
      <c r="E32" s="5"/>
      <c r="F32" s="5"/>
    </row>
    <row r="33" customFormat="false" ht="15" hidden="false" customHeight="false" outlineLevel="0" collapsed="false">
      <c r="A33" s="3" t="s">
        <v>44</v>
      </c>
      <c r="B33" s="4" t="s">
        <v>45</v>
      </c>
    </row>
    <row r="34" customFormat="false" ht="15" hidden="false" customHeight="false" outlineLevel="0" collapsed="false">
      <c r="A34" s="3" t="s">
        <v>46</v>
      </c>
      <c r="B34" s="4" t="s">
        <v>47</v>
      </c>
    </row>
    <row r="35" customFormat="false" ht="15" hidden="false" customHeight="false" outlineLevel="0" collapsed="false">
      <c r="A35" s="3" t="s">
        <v>48</v>
      </c>
      <c r="B35" s="4" t="s">
        <v>49</v>
      </c>
    </row>
    <row r="36" customFormat="false" ht="15" hidden="false" customHeight="false" outlineLevel="0" collapsed="false">
      <c r="A36" s="3" t="s">
        <v>50</v>
      </c>
      <c r="B36" s="4" t="s">
        <v>51</v>
      </c>
    </row>
    <row r="37" customFormat="false" ht="15" hidden="false" customHeight="false" outlineLevel="0" collapsed="false">
      <c r="A37" s="3"/>
      <c r="B37" s="4"/>
    </row>
    <row r="38" customFormat="false" ht="15" hidden="false" customHeight="false" outlineLevel="0" collapsed="false">
      <c r="A38" s="5" t="s">
        <v>52</v>
      </c>
      <c r="B38" s="5"/>
      <c r="C38" s="5"/>
      <c r="D38" s="5"/>
      <c r="E38" s="5"/>
      <c r="F38" s="5"/>
    </row>
    <row r="39" customFormat="false" ht="35.05" hidden="false" customHeight="false" outlineLevel="0" collapsed="false">
      <c r="A39" s="3"/>
      <c r="B39" s="4" t="s">
        <v>53</v>
      </c>
    </row>
  </sheetData>
  <mergeCells count="8">
    <mergeCell ref="A1:F1"/>
    <mergeCell ref="A2:F2"/>
    <mergeCell ref="A5:F5"/>
    <mergeCell ref="A14:F14"/>
    <mergeCell ref="A17:F17"/>
    <mergeCell ref="A23:F23"/>
    <mergeCell ref="A32:F32"/>
    <mergeCell ref="A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6" min="4" style="0" width="14"/>
  </cols>
  <sheetData>
    <row r="1" customFormat="false" ht="21.75" hidden="false" customHeight="true" outlineLevel="0" collapsed="false">
      <c r="A1" s="1" t="s">
        <v>54</v>
      </c>
      <c r="B1" s="1"/>
      <c r="C1" s="1"/>
      <c r="D1" s="1"/>
      <c r="E1" s="1"/>
      <c r="F1" s="1"/>
    </row>
    <row r="2" customFormat="false" ht="15" hidden="false" customHeight="false" outlineLevel="0" collapsed="false">
      <c r="A2" s="2" t="s">
        <v>55</v>
      </c>
      <c r="B2" s="2"/>
      <c r="C2" s="2"/>
      <c r="D2" s="2"/>
      <c r="E2" s="2"/>
      <c r="F2" s="2"/>
    </row>
    <row r="4" customFormat="false" ht="15" hidden="false" customHeight="false" outlineLevel="0" collapsed="false">
      <c r="A4" s="6" t="s">
        <v>56</v>
      </c>
      <c r="B4" s="6"/>
      <c r="C4" s="6"/>
    </row>
    <row r="5" customFormat="false" ht="30" hidden="false" customHeight="true" outlineLevel="0" collapsed="false">
      <c r="A5" s="7" t="s">
        <v>57</v>
      </c>
      <c r="B5" s="7" t="s">
        <v>58</v>
      </c>
      <c r="C5" s="7" t="s">
        <v>59</v>
      </c>
    </row>
    <row r="6" customFormat="false" ht="15" hidden="false" customHeight="false" outlineLevel="0" collapsed="false">
      <c r="A6" s="8" t="s">
        <v>20</v>
      </c>
      <c r="B6" s="9" t="n">
        <f aca="false">COUNTIF('Annex A Register'!$G$4:$G$96,A6)</f>
        <v>46</v>
      </c>
      <c r="C6" s="10" t="n">
        <f aca="false">IFERROR(B6/$B$11,0)</f>
        <v>0.5</v>
      </c>
    </row>
    <row r="7" customFormat="false" ht="15" hidden="false" customHeight="false" outlineLevel="0" collapsed="false">
      <c r="A7" s="11" t="s">
        <v>22</v>
      </c>
      <c r="B7" s="9" t="n">
        <f aca="false">COUNTIF('Annex A Register'!$G$4:$G$96,A7)</f>
        <v>43</v>
      </c>
      <c r="C7" s="10" t="n">
        <f aca="false">IFERROR(B7/$B$11,0)</f>
        <v>0.467391304347826</v>
      </c>
    </row>
    <row r="8" customFormat="false" ht="15" hidden="false" customHeight="false" outlineLevel="0" collapsed="false">
      <c r="A8" s="12" t="s">
        <v>24</v>
      </c>
      <c r="B8" s="9" t="n">
        <f aca="false">COUNTIF('Annex A Register'!$G$4:$G$96,A8)</f>
        <v>3</v>
      </c>
      <c r="C8" s="10" t="n">
        <f aca="false">IFERROR(B8/$B$11,0)</f>
        <v>0.0326086956521739</v>
      </c>
    </row>
    <row r="9" customFormat="false" ht="15" hidden="false" customHeight="false" outlineLevel="0" collapsed="false">
      <c r="A9" s="13" t="s">
        <v>26</v>
      </c>
      <c r="B9" s="9" t="n">
        <f aca="false">COUNTIF('Annex A Register'!$G$4:$G$96,A9)</f>
        <v>1</v>
      </c>
    </row>
    <row r="10" customFormat="false" ht="15" hidden="false" customHeight="false" outlineLevel="0" collapsed="false">
      <c r="A10" s="14" t="s">
        <v>60</v>
      </c>
      <c r="B10" s="14" t="n">
        <f aca="false">COUNTA('Annex A Register'!$A$4:$A$96)</f>
        <v>93</v>
      </c>
    </row>
    <row r="11" customFormat="false" ht="15" hidden="false" customHeight="false" outlineLevel="0" collapsed="false">
      <c r="A11" s="14" t="s">
        <v>61</v>
      </c>
      <c r="B11" s="14" t="n">
        <f aca="false">COUNTIF('Annex A Register'!$D$4:$D$96,"Yes")</f>
        <v>92</v>
      </c>
    </row>
    <row r="12" customFormat="false" ht="15" hidden="false" customHeight="false" outlineLevel="0" collapsed="false">
      <c r="A12" s="14" t="s">
        <v>62</v>
      </c>
      <c r="B12" s="14" t="n">
        <f aca="false">COUNTIFS('Annex A Register'!$D$4:$D$96,"Yes",'Annex A Register'!$I$4:$I$96,"&lt;3")</f>
        <v>46</v>
      </c>
    </row>
    <row r="13" customFormat="false" ht="15" hidden="false" customHeight="false" outlineLevel="0" collapsed="false">
      <c r="A13" s="14" t="s">
        <v>63</v>
      </c>
      <c r="B13" s="15" t="n">
        <f aca="false">IFERROR((B11-B12)/B11,0)</f>
        <v>0.5</v>
      </c>
    </row>
    <row r="15" customFormat="false" ht="15" hidden="false" customHeight="false" outlineLevel="0" collapsed="false">
      <c r="A15" s="6" t="s">
        <v>64</v>
      </c>
      <c r="B15" s="6"/>
      <c r="C15" s="6"/>
      <c r="D15" s="6"/>
    </row>
    <row r="16" customFormat="false" ht="30" hidden="false" customHeight="true" outlineLevel="0" collapsed="false">
      <c r="A16" s="7" t="s">
        <v>65</v>
      </c>
      <c r="B16" s="7" t="s">
        <v>66</v>
      </c>
      <c r="C16" s="7" t="s">
        <v>67</v>
      </c>
      <c r="D16" s="7" t="s">
        <v>68</v>
      </c>
    </row>
    <row r="17" customFormat="false" ht="15" hidden="false" customHeight="false" outlineLevel="0" collapsed="false">
      <c r="A17" s="9" t="s">
        <v>69</v>
      </c>
      <c r="B17" s="9" t="n">
        <f aca="false">COUNTIF('Annex A Register'!$C$4:$C$96,A17)</f>
        <v>37</v>
      </c>
      <c r="C17" s="9" t="n">
        <f aca="false">COUNTIFS('Annex A Register'!$C$4:$C$96,A17,'Annex A Register'!$D$4:$D$96,"Yes",'Annex A Register'!$I$4:$I$96,"&lt;3")</f>
        <v>22</v>
      </c>
      <c r="D17" s="10" t="n">
        <f aca="false">IFERROR(C17/B17,0)</f>
        <v>0.594594594594595</v>
      </c>
    </row>
    <row r="18" customFormat="false" ht="15" hidden="false" customHeight="false" outlineLevel="0" collapsed="false">
      <c r="A18" s="9" t="s">
        <v>70</v>
      </c>
      <c r="B18" s="9" t="n">
        <f aca="false">COUNTIF('Annex A Register'!$C$4:$C$96,A18)</f>
        <v>8</v>
      </c>
      <c r="C18" s="9" t="n">
        <f aca="false">COUNTIFS('Annex A Register'!$C$4:$C$96,A18,'Annex A Register'!$D$4:$D$96,"Yes",'Annex A Register'!$I$4:$I$96,"&lt;3")</f>
        <v>2</v>
      </c>
      <c r="D18" s="10" t="n">
        <f aca="false">IFERROR(C18/B18,0)</f>
        <v>0.25</v>
      </c>
    </row>
    <row r="19" customFormat="false" ht="15" hidden="false" customHeight="false" outlineLevel="0" collapsed="false">
      <c r="A19" s="9" t="s">
        <v>71</v>
      </c>
      <c r="B19" s="9" t="n">
        <f aca="false">COUNTIF('Annex A Register'!$C$4:$C$96,A19)</f>
        <v>14</v>
      </c>
      <c r="C19" s="9" t="n">
        <f aca="false">COUNTIFS('Annex A Register'!$C$4:$C$96,A19,'Annex A Register'!$D$4:$D$96,"Yes",'Annex A Register'!$I$4:$I$96,"&lt;3")</f>
        <v>5</v>
      </c>
      <c r="D19" s="10" t="n">
        <f aca="false">IFERROR(C19/B19,0)</f>
        <v>0.357142857142857</v>
      </c>
    </row>
    <row r="20" customFormat="false" ht="15" hidden="false" customHeight="false" outlineLevel="0" collapsed="false">
      <c r="A20" s="9" t="s">
        <v>72</v>
      </c>
      <c r="B20" s="9" t="n">
        <f aca="false">COUNTIF('Annex A Register'!$C$4:$C$96,A20)</f>
        <v>34</v>
      </c>
      <c r="C20" s="9" t="n">
        <f aca="false">COUNTIFS('Annex A Register'!$C$4:$C$96,A20,'Annex A Register'!$D$4:$D$96,"Yes",'Annex A Register'!$I$4:$I$96,"&lt;3")</f>
        <v>17</v>
      </c>
      <c r="D20" s="10" t="n">
        <f aca="false">IFERROR(C20/B20,0)</f>
        <v>0.5</v>
      </c>
    </row>
    <row r="23" customFormat="false" ht="15" hidden="false" customHeight="false" outlineLevel="0" collapsed="false">
      <c r="A23" s="6" t="s">
        <v>73</v>
      </c>
      <c r="B23" s="6"/>
      <c r="C23" s="6"/>
      <c r="D23" s="6"/>
    </row>
    <row r="24" customFormat="false" ht="30" hidden="false" customHeight="true" outlineLevel="0" collapsed="false">
      <c r="A24" s="7" t="s">
        <v>74</v>
      </c>
      <c r="B24" s="7" t="s">
        <v>75</v>
      </c>
      <c r="C24" s="7" t="s">
        <v>76</v>
      </c>
      <c r="D24" s="7" t="s">
        <v>77</v>
      </c>
    </row>
    <row r="25" customFormat="false" ht="15" hidden="false" customHeight="false" outlineLevel="0" collapsed="false">
      <c r="A25" s="12" t="s">
        <v>44</v>
      </c>
      <c r="B25" s="9" t="n">
        <f aca="false">COUNTIF('Annex A Register'!$K$4:$K$96,A25)</f>
        <v>3</v>
      </c>
      <c r="C25" s="9" t="n">
        <f aca="false">COUNTIF('Clause Gaps'!$G$4:$G$28,A25)</f>
        <v>14</v>
      </c>
      <c r="D25" s="14" t="n">
        <f aca="false">B25+C25</f>
        <v>17</v>
      </c>
    </row>
    <row r="26" customFormat="false" ht="15" hidden="false" customHeight="false" outlineLevel="0" collapsed="false">
      <c r="A26" s="16" t="s">
        <v>46</v>
      </c>
      <c r="B26" s="9" t="n">
        <f aca="false">COUNTIF('Annex A Register'!$K$4:$K$96,A26)</f>
        <v>29</v>
      </c>
      <c r="C26" s="9" t="n">
        <f aca="false">COUNTIF('Clause Gaps'!$G$4:$G$28,A26)</f>
        <v>8</v>
      </c>
      <c r="D26" s="14" t="n">
        <f aca="false">B26+C26</f>
        <v>37</v>
      </c>
    </row>
    <row r="27" customFormat="false" ht="15" hidden="false" customHeight="false" outlineLevel="0" collapsed="false">
      <c r="A27" s="11" t="s">
        <v>48</v>
      </c>
      <c r="B27" s="9" t="n">
        <f aca="false">COUNTIF('Annex A Register'!$K$4:$K$96,A27)</f>
        <v>12</v>
      </c>
      <c r="C27" s="9" t="n">
        <f aca="false">COUNTIF('Clause Gaps'!$G$4:$G$28,A27)</f>
        <v>2</v>
      </c>
      <c r="D27" s="14" t="n">
        <f aca="false">B27+C27</f>
        <v>14</v>
      </c>
    </row>
    <row r="28" customFormat="false" ht="15" hidden="false" customHeight="false" outlineLevel="0" collapsed="false">
      <c r="A28" s="17" t="s">
        <v>50</v>
      </c>
      <c r="B28" s="9" t="n">
        <f aca="false">COUNTIF('Annex A Register'!$K$4:$K$96,A28)</f>
        <v>2</v>
      </c>
      <c r="C28" s="9" t="n">
        <f aca="false">COUNTIF('Clause Gaps'!$G$4:$G$28,A28)</f>
        <v>0</v>
      </c>
      <c r="D28" s="14" t="n">
        <f aca="false">B28+C28</f>
        <v>2</v>
      </c>
    </row>
    <row r="29" customFormat="false" ht="15" hidden="false" customHeight="false" outlineLevel="0" collapsed="false">
      <c r="A29" s="14" t="s">
        <v>77</v>
      </c>
      <c r="B29" s="14" t="n">
        <f aca="false">SUM(B25:B28)</f>
        <v>46</v>
      </c>
      <c r="C29" s="14" t="n">
        <f aca="false">SUM(C25:C28)</f>
        <v>24</v>
      </c>
      <c r="D29" s="14" t="n">
        <f aca="false">SUM(D25:D28)</f>
        <v>70</v>
      </c>
    </row>
    <row r="31" customFormat="false" ht="15" hidden="false" customHeight="false" outlineLevel="0" collapsed="false">
      <c r="A31" s="6" t="s">
        <v>78</v>
      </c>
      <c r="B31" s="6"/>
      <c r="C31" s="6"/>
    </row>
    <row r="32" customFormat="false" ht="30" hidden="false" customHeight="true" outlineLevel="0" collapsed="false">
      <c r="A32" s="7" t="s">
        <v>57</v>
      </c>
      <c r="B32" s="7" t="s">
        <v>58</v>
      </c>
      <c r="C32" s="7" t="s">
        <v>79</v>
      </c>
    </row>
    <row r="33" customFormat="false" ht="15" hidden="false" customHeight="false" outlineLevel="0" collapsed="false">
      <c r="A33" s="8" t="s">
        <v>20</v>
      </c>
      <c r="B33" s="9" t="n">
        <f aca="false">COUNTIF('Clause Gaps'!$E$4:$E$28,A33)</f>
        <v>1</v>
      </c>
      <c r="C33" s="10" t="n">
        <f aca="false">IFERROR(B33/$B$36,0)</f>
        <v>0.04</v>
      </c>
    </row>
    <row r="34" customFormat="false" ht="15" hidden="false" customHeight="false" outlineLevel="0" collapsed="false">
      <c r="A34" s="11" t="s">
        <v>22</v>
      </c>
      <c r="B34" s="9" t="n">
        <f aca="false">COUNTIF('Clause Gaps'!$E$4:$E$28,A34)</f>
        <v>14</v>
      </c>
      <c r="C34" s="10" t="n">
        <f aca="false">IFERROR(B34/$B$36,0)</f>
        <v>0.56</v>
      </c>
    </row>
    <row r="35" customFormat="false" ht="15" hidden="false" customHeight="false" outlineLevel="0" collapsed="false">
      <c r="A35" s="12" t="s">
        <v>24</v>
      </c>
      <c r="B35" s="9" t="n">
        <f aca="false">COUNTIF('Clause Gaps'!$E$4:$E$28,A35)</f>
        <v>10</v>
      </c>
      <c r="C35" s="10" t="n">
        <f aca="false">IFERROR(B35/$B$36,0)</f>
        <v>0.4</v>
      </c>
    </row>
    <row r="36" customFormat="false" ht="15" hidden="false" customHeight="false" outlineLevel="0" collapsed="false">
      <c r="A36" s="14" t="s">
        <v>80</v>
      </c>
      <c r="B36" s="14" t="n">
        <f aca="false">COUNTA('Clause Gaps'!$A$4:$A$28)</f>
        <v>25</v>
      </c>
    </row>
    <row r="38" customFormat="false" ht="15" hidden="false" customHeight="false" outlineLevel="0" collapsed="false">
      <c r="A38" s="6" t="s">
        <v>81</v>
      </c>
      <c r="B38" s="6"/>
      <c r="C38" s="6"/>
      <c r="D38" s="6"/>
      <c r="E38" s="6"/>
      <c r="F38" s="6"/>
    </row>
    <row r="39" customFormat="false" ht="15" hidden="false" customHeight="true" outlineLevel="0" collapsed="false">
      <c r="A39" s="18" t="s">
        <v>82</v>
      </c>
      <c r="B39" s="18"/>
      <c r="C39" s="18"/>
      <c r="D39" s="18"/>
      <c r="E39" s="18"/>
      <c r="F39" s="18"/>
    </row>
    <row r="40" customFormat="false" ht="15" hidden="false" customHeight="false" outlineLevel="0" collapsed="false">
      <c r="A40" s="18"/>
      <c r="B40" s="18"/>
      <c r="C40" s="18"/>
      <c r="D40" s="18"/>
      <c r="E40" s="18"/>
      <c r="F40" s="18"/>
    </row>
    <row r="41" customFormat="false" ht="15" hidden="false" customHeight="false" outlineLevel="0" collapsed="false">
      <c r="A41" s="18"/>
      <c r="B41" s="18"/>
      <c r="C41" s="18"/>
      <c r="D41" s="18"/>
      <c r="E41" s="18"/>
      <c r="F41" s="18"/>
    </row>
    <row r="42" customFormat="false" ht="15" hidden="false" customHeight="false" outlineLevel="0" collapsed="false">
      <c r="A42" s="18"/>
      <c r="B42" s="18"/>
      <c r="C42" s="18"/>
      <c r="D42" s="18"/>
      <c r="E42" s="18"/>
      <c r="F42" s="18"/>
    </row>
  </sheetData>
  <mergeCells count="8">
    <mergeCell ref="A1:F1"/>
    <mergeCell ref="A2:F2"/>
    <mergeCell ref="A4:C4"/>
    <mergeCell ref="A15:D15"/>
    <mergeCell ref="A23:D23"/>
    <mergeCell ref="A31:C31"/>
    <mergeCell ref="A38:F38"/>
    <mergeCell ref="A39:F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3"/>
    <col collapsed="false" customWidth="true" hidden="false" outlineLevel="0" max="4" min="4" style="0" width="10"/>
    <col collapsed="false" customWidth="true" hidden="false" outlineLevel="0" max="5" min="5" style="0" width="48"/>
    <col collapsed="false" customWidth="true" hidden="false" outlineLevel="0" max="6" min="6" style="0" width="54"/>
    <col collapsed="false" customWidth="true" hidden="false" outlineLevel="0" max="7" min="7" style="0" width="16"/>
    <col collapsed="false" customWidth="true" hidden="false" outlineLevel="0" max="8" min="8" style="0" width="34"/>
    <col collapsed="false" customWidth="true" hidden="false" outlineLevel="0" max="9" min="9" style="0" width="9"/>
    <col collapsed="false" customWidth="true" hidden="false" outlineLevel="0" max="10" min="10" style="0" width="54"/>
    <col collapsed="false" customWidth="true" hidden="false" outlineLevel="0" max="11" min="11" style="0" width="9"/>
    <col collapsed="false" customWidth="true" hidden="false" outlineLevel="0" max="12" min="12" style="0" width="54"/>
    <col collapsed="false" customWidth="true" hidden="false" outlineLevel="0" max="13" min="13" style="0" width="11"/>
    <col collapsed="false" customWidth="true" hidden="false" outlineLevel="0" max="15" min="14" style="0" width="14"/>
    <col collapsed="false" customWidth="true" hidden="false" outlineLevel="0" max="16" min="16" style="0" width="17"/>
    <col collapsed="false" customWidth="true" hidden="false" outlineLevel="0" max="17" min="17" style="0" width="13"/>
    <col collapsed="false" customWidth="true" hidden="false" outlineLevel="0" max="18" min="18" style="0" width="12"/>
  </cols>
  <sheetData>
    <row r="1" customFormat="false" ht="21.75" hidden="false" customHeight="true" outlineLevel="0" collapsed="false">
      <c r="A1" s="1" t="s">
        <v>83</v>
      </c>
      <c r="B1" s="1"/>
      <c r="C1" s="1"/>
      <c r="D1" s="1"/>
      <c r="E1" s="1"/>
      <c r="F1" s="1"/>
      <c r="G1" s="1"/>
      <c r="H1" s="1"/>
      <c r="I1" s="1"/>
      <c r="J1" s="1"/>
      <c r="K1" s="1"/>
      <c r="L1" s="1"/>
      <c r="M1" s="1"/>
      <c r="N1" s="1"/>
      <c r="O1" s="1"/>
      <c r="P1" s="1"/>
      <c r="Q1" s="1"/>
      <c r="R1" s="1"/>
    </row>
    <row r="2" customFormat="false" ht="15" hidden="false" customHeight="false" outlineLevel="0" collapsed="false">
      <c r="A2" s="2" t="s">
        <v>84</v>
      </c>
      <c r="B2" s="2"/>
      <c r="C2" s="2"/>
      <c r="D2" s="2"/>
      <c r="E2" s="2"/>
      <c r="F2" s="2"/>
      <c r="G2" s="2"/>
      <c r="H2" s="2"/>
      <c r="I2" s="2"/>
      <c r="J2" s="2"/>
      <c r="K2" s="2"/>
      <c r="L2" s="2"/>
      <c r="M2" s="2"/>
      <c r="N2" s="2"/>
      <c r="O2" s="2"/>
      <c r="P2" s="2"/>
      <c r="Q2" s="2"/>
      <c r="R2" s="2"/>
    </row>
    <row r="3" customFormat="false" ht="30" hidden="false" customHeight="true" outlineLevel="0" collapsed="false">
      <c r="A3" s="7" t="s">
        <v>85</v>
      </c>
      <c r="B3" s="7" t="s">
        <v>86</v>
      </c>
      <c r="C3" s="7" t="s">
        <v>65</v>
      </c>
      <c r="D3" s="7" t="s">
        <v>87</v>
      </c>
      <c r="E3" s="7" t="s">
        <v>88</v>
      </c>
      <c r="F3" s="7" t="s">
        <v>89</v>
      </c>
      <c r="G3" s="7" t="s">
        <v>57</v>
      </c>
      <c r="H3" s="7" t="s">
        <v>90</v>
      </c>
      <c r="I3" s="7" t="s">
        <v>91</v>
      </c>
      <c r="J3" s="7" t="s">
        <v>92</v>
      </c>
      <c r="K3" s="7" t="s">
        <v>74</v>
      </c>
      <c r="L3" s="7" t="s">
        <v>93</v>
      </c>
      <c r="M3" s="7" t="s">
        <v>94</v>
      </c>
      <c r="N3" s="7" t="s">
        <v>95</v>
      </c>
      <c r="O3" s="7" t="s">
        <v>96</v>
      </c>
      <c r="P3" s="7" t="s">
        <v>97</v>
      </c>
      <c r="Q3" s="7" t="s">
        <v>98</v>
      </c>
      <c r="R3" s="7" t="s">
        <v>99</v>
      </c>
    </row>
    <row r="4" customFormat="false" ht="43.25" hidden="false" customHeight="false" outlineLevel="0" collapsed="false">
      <c r="A4" s="19" t="s">
        <v>100</v>
      </c>
      <c r="B4" s="20" t="s">
        <v>101</v>
      </c>
      <c r="C4" s="20" t="s">
        <v>69</v>
      </c>
      <c r="D4" s="20" t="s">
        <v>102</v>
      </c>
      <c r="E4" s="20" t="s">
        <v>103</v>
      </c>
      <c r="F4" s="20" t="s">
        <v>104</v>
      </c>
      <c r="G4" s="21" t="s">
        <v>22</v>
      </c>
      <c r="H4" s="20"/>
      <c r="I4" s="22" t="n">
        <v>2</v>
      </c>
      <c r="J4" s="20" t="s">
        <v>105</v>
      </c>
      <c r="K4" s="23" t="s">
        <v>44</v>
      </c>
      <c r="L4" s="20" t="s">
        <v>106</v>
      </c>
      <c r="M4" s="22" t="n">
        <v>8</v>
      </c>
      <c r="N4" s="22" t="s">
        <v>107</v>
      </c>
      <c r="O4" s="20" t="s">
        <v>107</v>
      </c>
      <c r="P4" s="20" t="s">
        <v>108</v>
      </c>
      <c r="Q4" s="20" t="s">
        <v>109</v>
      </c>
      <c r="R4" s="20" t="s">
        <v>110</v>
      </c>
    </row>
    <row r="5" customFormat="false" ht="32.8" hidden="false" customHeight="false" outlineLevel="0" collapsed="false">
      <c r="A5" s="24" t="s">
        <v>111</v>
      </c>
      <c r="B5" s="25" t="s">
        <v>112</v>
      </c>
      <c r="C5" s="25" t="s">
        <v>69</v>
      </c>
      <c r="D5" s="25" t="s">
        <v>102</v>
      </c>
      <c r="E5" s="25" t="s">
        <v>113</v>
      </c>
      <c r="F5" s="25" t="s">
        <v>114</v>
      </c>
      <c r="G5" s="21" t="s">
        <v>22</v>
      </c>
      <c r="H5" s="25"/>
      <c r="I5" s="26" t="n">
        <v>2</v>
      </c>
      <c r="J5" s="25" t="s">
        <v>115</v>
      </c>
      <c r="K5" s="27" t="s">
        <v>46</v>
      </c>
      <c r="L5" s="25" t="s">
        <v>116</v>
      </c>
      <c r="M5" s="26" t="n">
        <v>6</v>
      </c>
      <c r="N5" s="26" t="s">
        <v>107</v>
      </c>
      <c r="O5" s="25" t="s">
        <v>117</v>
      </c>
      <c r="P5" s="25" t="s">
        <v>118</v>
      </c>
      <c r="Q5" s="25" t="s">
        <v>119</v>
      </c>
      <c r="R5" s="25"/>
    </row>
    <row r="6" customFormat="false" ht="32.8" hidden="false" customHeight="false" outlineLevel="0" collapsed="false">
      <c r="A6" s="19" t="s">
        <v>120</v>
      </c>
      <c r="B6" s="20" t="s">
        <v>121</v>
      </c>
      <c r="C6" s="20" t="s">
        <v>69</v>
      </c>
      <c r="D6" s="20" t="s">
        <v>102</v>
      </c>
      <c r="E6" s="20" t="s">
        <v>122</v>
      </c>
      <c r="F6" s="20" t="s">
        <v>123</v>
      </c>
      <c r="G6" s="21" t="s">
        <v>22</v>
      </c>
      <c r="H6" s="20"/>
      <c r="I6" s="22" t="n">
        <v>2</v>
      </c>
      <c r="J6" s="20" t="s">
        <v>124</v>
      </c>
      <c r="K6" s="27" t="s">
        <v>46</v>
      </c>
      <c r="L6" s="20" t="s">
        <v>125</v>
      </c>
      <c r="M6" s="22" t="n">
        <v>12</v>
      </c>
      <c r="N6" s="22" t="s">
        <v>107</v>
      </c>
      <c r="O6" s="20" t="s">
        <v>126</v>
      </c>
      <c r="P6" s="20" t="s">
        <v>127</v>
      </c>
      <c r="Q6" s="20" t="s">
        <v>119</v>
      </c>
      <c r="R6" s="20"/>
    </row>
    <row r="7" customFormat="false" ht="43.25" hidden="false" customHeight="false" outlineLevel="0" collapsed="false">
      <c r="A7" s="24" t="s">
        <v>128</v>
      </c>
      <c r="B7" s="25" t="s">
        <v>129</v>
      </c>
      <c r="C7" s="25" t="s">
        <v>69</v>
      </c>
      <c r="D7" s="25" t="s">
        <v>102</v>
      </c>
      <c r="E7" s="25" t="s">
        <v>130</v>
      </c>
      <c r="F7" s="25" t="s">
        <v>131</v>
      </c>
      <c r="G7" s="21" t="s">
        <v>22</v>
      </c>
      <c r="H7" s="25"/>
      <c r="I7" s="26" t="n">
        <v>2</v>
      </c>
      <c r="J7" s="25" t="s">
        <v>132</v>
      </c>
      <c r="K7" s="27" t="s">
        <v>46</v>
      </c>
      <c r="L7" s="25" t="s">
        <v>133</v>
      </c>
      <c r="M7" s="26" t="n">
        <v>3</v>
      </c>
      <c r="N7" s="26" t="s">
        <v>107</v>
      </c>
      <c r="O7" s="25" t="s">
        <v>117</v>
      </c>
      <c r="P7" s="25" t="s">
        <v>108</v>
      </c>
      <c r="Q7" s="25" t="s">
        <v>119</v>
      </c>
      <c r="R7" s="25"/>
    </row>
    <row r="8" customFormat="false" ht="32.8" hidden="false" customHeight="false" outlineLevel="0" collapsed="false">
      <c r="A8" s="19" t="s">
        <v>134</v>
      </c>
      <c r="B8" s="20" t="s">
        <v>135</v>
      </c>
      <c r="C8" s="20" t="s">
        <v>69</v>
      </c>
      <c r="D8" s="20" t="s">
        <v>102</v>
      </c>
      <c r="E8" s="20" t="s">
        <v>136</v>
      </c>
      <c r="F8" s="20" t="s">
        <v>137</v>
      </c>
      <c r="G8" s="28" t="s">
        <v>20</v>
      </c>
      <c r="H8" s="20" t="s">
        <v>138</v>
      </c>
      <c r="I8" s="22" t="n">
        <v>3</v>
      </c>
      <c r="J8" s="20"/>
      <c r="K8" s="20"/>
      <c r="L8" s="20"/>
      <c r="M8" s="22"/>
      <c r="N8" s="22"/>
      <c r="O8" s="20"/>
      <c r="P8" s="20"/>
      <c r="Q8" s="20"/>
      <c r="R8" s="20"/>
    </row>
    <row r="9" customFormat="false" ht="32.8" hidden="false" customHeight="false" outlineLevel="0" collapsed="false">
      <c r="A9" s="24" t="s">
        <v>139</v>
      </c>
      <c r="B9" s="25" t="s">
        <v>140</v>
      </c>
      <c r="C9" s="25" t="s">
        <v>69</v>
      </c>
      <c r="D9" s="25" t="s">
        <v>102</v>
      </c>
      <c r="E9" s="25" t="s">
        <v>141</v>
      </c>
      <c r="F9" s="25" t="s">
        <v>142</v>
      </c>
      <c r="G9" s="21" t="s">
        <v>22</v>
      </c>
      <c r="H9" s="25"/>
      <c r="I9" s="26" t="n">
        <v>2</v>
      </c>
      <c r="J9" s="25" t="s">
        <v>143</v>
      </c>
      <c r="K9" s="29" t="s">
        <v>48</v>
      </c>
      <c r="L9" s="25" t="s">
        <v>144</v>
      </c>
      <c r="M9" s="26" t="n">
        <v>2</v>
      </c>
      <c r="N9" s="30" t="n">
        <v>8000</v>
      </c>
      <c r="O9" s="25" t="s">
        <v>107</v>
      </c>
      <c r="P9" s="25" t="s">
        <v>145</v>
      </c>
      <c r="Q9" s="25" t="s">
        <v>146</v>
      </c>
      <c r="R9" s="25"/>
    </row>
    <row r="10" customFormat="false" ht="43.25" hidden="false" customHeight="false" outlineLevel="0" collapsed="false">
      <c r="A10" s="19" t="s">
        <v>147</v>
      </c>
      <c r="B10" s="20" t="s">
        <v>148</v>
      </c>
      <c r="C10" s="20" t="s">
        <v>69</v>
      </c>
      <c r="D10" s="20" t="s">
        <v>102</v>
      </c>
      <c r="E10" s="20" t="s">
        <v>149</v>
      </c>
      <c r="F10" s="20" t="s">
        <v>150</v>
      </c>
      <c r="G10" s="31" t="s">
        <v>24</v>
      </c>
      <c r="H10" s="20" t="s">
        <v>151</v>
      </c>
      <c r="I10" s="22" t="n">
        <v>1</v>
      </c>
      <c r="J10" s="20" t="s">
        <v>152</v>
      </c>
      <c r="K10" s="27" t="s">
        <v>46</v>
      </c>
      <c r="L10" s="20" t="s">
        <v>153</v>
      </c>
      <c r="M10" s="22" t="n">
        <v>20</v>
      </c>
      <c r="N10" s="32" t="n">
        <v>60000</v>
      </c>
      <c r="O10" s="20" t="s">
        <v>107</v>
      </c>
      <c r="P10" s="20" t="s">
        <v>145</v>
      </c>
      <c r="Q10" s="20" t="s">
        <v>119</v>
      </c>
      <c r="R10" s="20" t="s">
        <v>154</v>
      </c>
    </row>
    <row r="11" customFormat="false" ht="32.8" hidden="false" customHeight="false" outlineLevel="0" collapsed="false">
      <c r="A11" s="24" t="s">
        <v>155</v>
      </c>
      <c r="B11" s="25" t="s">
        <v>156</v>
      </c>
      <c r="C11" s="25" t="s">
        <v>69</v>
      </c>
      <c r="D11" s="25" t="s">
        <v>102</v>
      </c>
      <c r="E11" s="25" t="s">
        <v>157</v>
      </c>
      <c r="F11" s="25" t="s">
        <v>158</v>
      </c>
      <c r="G11" s="21" t="s">
        <v>22</v>
      </c>
      <c r="H11" s="25"/>
      <c r="I11" s="26" t="n">
        <v>2</v>
      </c>
      <c r="J11" s="25" t="s">
        <v>159</v>
      </c>
      <c r="K11" s="27" t="s">
        <v>46</v>
      </c>
      <c r="L11" s="25" t="s">
        <v>160</v>
      </c>
      <c r="M11" s="26" t="n">
        <v>10</v>
      </c>
      <c r="N11" s="26" t="s">
        <v>107</v>
      </c>
      <c r="O11" s="25" t="s">
        <v>117</v>
      </c>
      <c r="P11" s="25" t="s">
        <v>161</v>
      </c>
      <c r="Q11" s="25" t="s">
        <v>119</v>
      </c>
      <c r="R11" s="25"/>
    </row>
    <row r="12" customFormat="false" ht="43.25" hidden="false" customHeight="false" outlineLevel="0" collapsed="false">
      <c r="A12" s="19" t="s">
        <v>126</v>
      </c>
      <c r="B12" s="20" t="s">
        <v>162</v>
      </c>
      <c r="C12" s="20" t="s">
        <v>69</v>
      </c>
      <c r="D12" s="20" t="s">
        <v>102</v>
      </c>
      <c r="E12" s="20" t="s">
        <v>163</v>
      </c>
      <c r="F12" s="20" t="s">
        <v>164</v>
      </c>
      <c r="G12" s="21" t="s">
        <v>22</v>
      </c>
      <c r="H12" s="20" t="s">
        <v>165</v>
      </c>
      <c r="I12" s="22" t="n">
        <v>2</v>
      </c>
      <c r="J12" s="20" t="s">
        <v>166</v>
      </c>
      <c r="K12" s="23" t="s">
        <v>44</v>
      </c>
      <c r="L12" s="20" t="s">
        <v>167</v>
      </c>
      <c r="M12" s="22" t="n">
        <v>30</v>
      </c>
      <c r="N12" s="22" t="s">
        <v>107</v>
      </c>
      <c r="O12" s="20" t="s">
        <v>107</v>
      </c>
      <c r="P12" s="20" t="s">
        <v>168</v>
      </c>
      <c r="Q12" s="20" t="s">
        <v>109</v>
      </c>
      <c r="R12" s="20" t="s">
        <v>169</v>
      </c>
    </row>
    <row r="13" customFormat="false" ht="32.8" hidden="false" customHeight="false" outlineLevel="0" collapsed="false">
      <c r="A13" s="24" t="s">
        <v>170</v>
      </c>
      <c r="B13" s="25" t="s">
        <v>171</v>
      </c>
      <c r="C13" s="25" t="s">
        <v>69</v>
      </c>
      <c r="D13" s="25" t="s">
        <v>102</v>
      </c>
      <c r="E13" s="25" t="s">
        <v>172</v>
      </c>
      <c r="F13" s="25" t="s">
        <v>173</v>
      </c>
      <c r="G13" s="28" t="s">
        <v>20</v>
      </c>
      <c r="H13" s="25" t="s">
        <v>138</v>
      </c>
      <c r="I13" s="26" t="n">
        <v>4</v>
      </c>
      <c r="J13" s="25"/>
      <c r="K13" s="25"/>
      <c r="L13" s="25"/>
      <c r="M13" s="26"/>
      <c r="N13" s="26"/>
      <c r="O13" s="25"/>
      <c r="P13" s="25"/>
      <c r="Q13" s="25"/>
      <c r="R13" s="25"/>
    </row>
    <row r="14" customFormat="false" ht="32.8" hidden="false" customHeight="false" outlineLevel="0" collapsed="false">
      <c r="A14" s="19" t="s">
        <v>174</v>
      </c>
      <c r="B14" s="20" t="s">
        <v>175</v>
      </c>
      <c r="C14" s="20" t="s">
        <v>69</v>
      </c>
      <c r="D14" s="20" t="s">
        <v>102</v>
      </c>
      <c r="E14" s="20" t="s">
        <v>176</v>
      </c>
      <c r="F14" s="20" t="s">
        <v>177</v>
      </c>
      <c r="G14" s="28" t="s">
        <v>20</v>
      </c>
      <c r="H14" s="20" t="s">
        <v>138</v>
      </c>
      <c r="I14" s="22" t="n">
        <v>3</v>
      </c>
      <c r="J14" s="20"/>
      <c r="K14" s="20"/>
      <c r="L14" s="20"/>
      <c r="M14" s="22"/>
      <c r="N14" s="22"/>
      <c r="O14" s="20"/>
      <c r="P14" s="20"/>
      <c r="Q14" s="20"/>
      <c r="R14" s="20"/>
    </row>
    <row r="15" customFormat="false" ht="32.8" hidden="false" customHeight="false" outlineLevel="0" collapsed="false">
      <c r="A15" s="24" t="s">
        <v>178</v>
      </c>
      <c r="B15" s="25" t="s">
        <v>179</v>
      </c>
      <c r="C15" s="25" t="s">
        <v>69</v>
      </c>
      <c r="D15" s="25" t="s">
        <v>102</v>
      </c>
      <c r="E15" s="25" t="s">
        <v>180</v>
      </c>
      <c r="F15" s="25" t="s">
        <v>181</v>
      </c>
      <c r="G15" s="28" t="s">
        <v>20</v>
      </c>
      <c r="H15" s="25" t="s">
        <v>138</v>
      </c>
      <c r="I15" s="26" t="n">
        <v>3</v>
      </c>
      <c r="J15" s="25"/>
      <c r="K15" s="25"/>
      <c r="L15" s="25"/>
      <c r="M15" s="26"/>
      <c r="N15" s="26"/>
      <c r="O15" s="25"/>
      <c r="P15" s="25"/>
      <c r="Q15" s="25"/>
      <c r="R15" s="25"/>
    </row>
    <row r="16" customFormat="false" ht="32.8" hidden="false" customHeight="false" outlineLevel="0" collapsed="false">
      <c r="A16" s="19" t="s">
        <v>182</v>
      </c>
      <c r="B16" s="20" t="s">
        <v>183</v>
      </c>
      <c r="C16" s="20" t="s">
        <v>69</v>
      </c>
      <c r="D16" s="20" t="s">
        <v>102</v>
      </c>
      <c r="E16" s="20" t="s">
        <v>184</v>
      </c>
      <c r="F16" s="20" t="s">
        <v>185</v>
      </c>
      <c r="G16" s="21" t="s">
        <v>22</v>
      </c>
      <c r="H16" s="20" t="s">
        <v>186</v>
      </c>
      <c r="I16" s="22" t="n">
        <v>2</v>
      </c>
      <c r="J16" s="20" t="s">
        <v>187</v>
      </c>
      <c r="K16" s="29" t="s">
        <v>48</v>
      </c>
      <c r="L16" s="20" t="s">
        <v>188</v>
      </c>
      <c r="M16" s="22" t="n">
        <v>12</v>
      </c>
      <c r="N16" s="22" t="s">
        <v>107</v>
      </c>
      <c r="O16" s="20" t="s">
        <v>126</v>
      </c>
      <c r="P16" s="20" t="s">
        <v>168</v>
      </c>
      <c r="Q16" s="20" t="s">
        <v>146</v>
      </c>
      <c r="R16" s="20"/>
    </row>
    <row r="17" customFormat="false" ht="43.25" hidden="false" customHeight="false" outlineLevel="0" collapsed="false">
      <c r="A17" s="24" t="s">
        <v>189</v>
      </c>
      <c r="B17" s="25" t="s">
        <v>190</v>
      </c>
      <c r="C17" s="25" t="s">
        <v>69</v>
      </c>
      <c r="D17" s="25" t="s">
        <v>102</v>
      </c>
      <c r="E17" s="25" t="s">
        <v>191</v>
      </c>
      <c r="F17" s="25" t="s">
        <v>192</v>
      </c>
      <c r="G17" s="28" t="s">
        <v>20</v>
      </c>
      <c r="H17" s="25" t="s">
        <v>138</v>
      </c>
      <c r="I17" s="26" t="n">
        <v>3</v>
      </c>
      <c r="J17" s="25"/>
      <c r="K17" s="25"/>
      <c r="L17" s="25"/>
      <c r="M17" s="26"/>
      <c r="N17" s="26"/>
      <c r="O17" s="25"/>
      <c r="P17" s="25"/>
      <c r="Q17" s="25"/>
      <c r="R17" s="25"/>
    </row>
    <row r="18" customFormat="false" ht="32.8" hidden="false" customHeight="false" outlineLevel="0" collapsed="false">
      <c r="A18" s="19" t="s">
        <v>193</v>
      </c>
      <c r="B18" s="20" t="s">
        <v>194</v>
      </c>
      <c r="C18" s="20" t="s">
        <v>69</v>
      </c>
      <c r="D18" s="20" t="s">
        <v>102</v>
      </c>
      <c r="E18" s="20" t="s">
        <v>195</v>
      </c>
      <c r="F18" s="20" t="s">
        <v>196</v>
      </c>
      <c r="G18" s="28" t="s">
        <v>20</v>
      </c>
      <c r="H18" s="20" t="s">
        <v>138</v>
      </c>
      <c r="I18" s="22" t="n">
        <v>4</v>
      </c>
      <c r="J18" s="20"/>
      <c r="K18" s="20"/>
      <c r="L18" s="20"/>
      <c r="M18" s="22"/>
      <c r="N18" s="22"/>
      <c r="O18" s="20"/>
      <c r="P18" s="20"/>
      <c r="Q18" s="20"/>
      <c r="R18" s="20"/>
    </row>
    <row r="19" customFormat="false" ht="32.8" hidden="false" customHeight="false" outlineLevel="0" collapsed="false">
      <c r="A19" s="24" t="s">
        <v>197</v>
      </c>
      <c r="B19" s="25" t="s">
        <v>198</v>
      </c>
      <c r="C19" s="25" t="s">
        <v>69</v>
      </c>
      <c r="D19" s="25" t="s">
        <v>102</v>
      </c>
      <c r="E19" s="25" t="s">
        <v>199</v>
      </c>
      <c r="F19" s="25" t="s">
        <v>200</v>
      </c>
      <c r="G19" s="28" t="s">
        <v>20</v>
      </c>
      <c r="H19" s="25" t="s">
        <v>138</v>
      </c>
      <c r="I19" s="26" t="n">
        <v>4</v>
      </c>
      <c r="J19" s="25"/>
      <c r="K19" s="25"/>
      <c r="L19" s="25"/>
      <c r="M19" s="26"/>
      <c r="N19" s="26"/>
      <c r="O19" s="25"/>
      <c r="P19" s="25"/>
      <c r="Q19" s="25"/>
      <c r="R19" s="25"/>
    </row>
    <row r="20" customFormat="false" ht="32.8" hidden="false" customHeight="false" outlineLevel="0" collapsed="false">
      <c r="A20" s="19" t="s">
        <v>201</v>
      </c>
      <c r="B20" s="20" t="s">
        <v>202</v>
      </c>
      <c r="C20" s="20" t="s">
        <v>69</v>
      </c>
      <c r="D20" s="20" t="s">
        <v>102</v>
      </c>
      <c r="E20" s="20" t="s">
        <v>203</v>
      </c>
      <c r="F20" s="20" t="s">
        <v>204</v>
      </c>
      <c r="G20" s="28" t="s">
        <v>20</v>
      </c>
      <c r="H20" s="20" t="s">
        <v>138</v>
      </c>
      <c r="I20" s="22" t="n">
        <v>4</v>
      </c>
      <c r="J20" s="20"/>
      <c r="K20" s="20"/>
      <c r="L20" s="20"/>
      <c r="M20" s="22"/>
      <c r="N20" s="22"/>
      <c r="O20" s="20"/>
      <c r="P20" s="20"/>
      <c r="Q20" s="20"/>
      <c r="R20" s="20"/>
    </row>
    <row r="21" customFormat="false" ht="43.25" hidden="false" customHeight="false" outlineLevel="0" collapsed="false">
      <c r="A21" s="24" t="s">
        <v>205</v>
      </c>
      <c r="B21" s="25" t="s">
        <v>206</v>
      </c>
      <c r="C21" s="25" t="s">
        <v>69</v>
      </c>
      <c r="D21" s="25" t="s">
        <v>102</v>
      </c>
      <c r="E21" s="25" t="s">
        <v>207</v>
      </c>
      <c r="F21" s="25" t="s">
        <v>208</v>
      </c>
      <c r="G21" s="28" t="s">
        <v>20</v>
      </c>
      <c r="H21" s="25" t="s">
        <v>138</v>
      </c>
      <c r="I21" s="26" t="n">
        <v>4</v>
      </c>
      <c r="J21" s="25"/>
      <c r="K21" s="25"/>
      <c r="L21" s="25"/>
      <c r="M21" s="26"/>
      <c r="N21" s="26"/>
      <c r="O21" s="25"/>
      <c r="P21" s="25"/>
      <c r="Q21" s="25"/>
      <c r="R21" s="25"/>
    </row>
    <row r="22" customFormat="false" ht="32.8" hidden="false" customHeight="false" outlineLevel="0" collapsed="false">
      <c r="A22" s="19" t="s">
        <v>209</v>
      </c>
      <c r="B22" s="20" t="s">
        <v>210</v>
      </c>
      <c r="C22" s="20" t="s">
        <v>69</v>
      </c>
      <c r="D22" s="20" t="s">
        <v>102</v>
      </c>
      <c r="E22" s="20" t="s">
        <v>211</v>
      </c>
      <c r="F22" s="20" t="s">
        <v>212</v>
      </c>
      <c r="G22" s="21" t="s">
        <v>22</v>
      </c>
      <c r="H22" s="20"/>
      <c r="I22" s="22" t="n">
        <v>2</v>
      </c>
      <c r="J22" s="20" t="s">
        <v>213</v>
      </c>
      <c r="K22" s="27" t="s">
        <v>46</v>
      </c>
      <c r="L22" s="20" t="s">
        <v>214</v>
      </c>
      <c r="M22" s="22" t="n">
        <v>8</v>
      </c>
      <c r="N22" s="22" t="s">
        <v>107</v>
      </c>
      <c r="O22" s="20" t="s">
        <v>107</v>
      </c>
      <c r="P22" s="20" t="s">
        <v>215</v>
      </c>
      <c r="Q22" s="20" t="s">
        <v>119</v>
      </c>
      <c r="R22" s="20" t="s">
        <v>216</v>
      </c>
    </row>
    <row r="23" customFormat="false" ht="32.8" hidden="false" customHeight="false" outlineLevel="0" collapsed="false">
      <c r="A23" s="24" t="s">
        <v>217</v>
      </c>
      <c r="B23" s="25" t="s">
        <v>218</v>
      </c>
      <c r="C23" s="25" t="s">
        <v>69</v>
      </c>
      <c r="D23" s="25" t="s">
        <v>102</v>
      </c>
      <c r="E23" s="25" t="s">
        <v>219</v>
      </c>
      <c r="F23" s="25" t="s">
        <v>220</v>
      </c>
      <c r="G23" s="21" t="s">
        <v>22</v>
      </c>
      <c r="H23" s="25" t="s">
        <v>221</v>
      </c>
      <c r="I23" s="26" t="n">
        <v>2</v>
      </c>
      <c r="J23" s="25" t="s">
        <v>222</v>
      </c>
      <c r="K23" s="27" t="s">
        <v>46</v>
      </c>
      <c r="L23" s="25" t="s">
        <v>223</v>
      </c>
      <c r="M23" s="26" t="n">
        <v>15</v>
      </c>
      <c r="N23" s="30" t="n">
        <v>25000</v>
      </c>
      <c r="O23" s="25" t="s">
        <v>209</v>
      </c>
      <c r="P23" s="25" t="s">
        <v>224</v>
      </c>
      <c r="Q23" s="25" t="s">
        <v>119</v>
      </c>
      <c r="R23" s="25" t="s">
        <v>216</v>
      </c>
    </row>
    <row r="24" customFormat="false" ht="32.8" hidden="false" customHeight="false" outlineLevel="0" collapsed="false">
      <c r="A24" s="19" t="s">
        <v>225</v>
      </c>
      <c r="B24" s="20" t="s">
        <v>226</v>
      </c>
      <c r="C24" s="20" t="s">
        <v>69</v>
      </c>
      <c r="D24" s="20" t="s">
        <v>102</v>
      </c>
      <c r="E24" s="20" t="s">
        <v>227</v>
      </c>
      <c r="F24" s="20" t="s">
        <v>228</v>
      </c>
      <c r="G24" s="31" t="s">
        <v>24</v>
      </c>
      <c r="H24" s="20" t="s">
        <v>151</v>
      </c>
      <c r="I24" s="22" t="n">
        <v>1</v>
      </c>
      <c r="J24" s="20" t="s">
        <v>229</v>
      </c>
      <c r="K24" s="27" t="s">
        <v>46</v>
      </c>
      <c r="L24" s="20" t="s">
        <v>230</v>
      </c>
      <c r="M24" s="22" t="n">
        <v>15</v>
      </c>
      <c r="N24" s="22" t="s">
        <v>107</v>
      </c>
      <c r="O24" s="20" t="s">
        <v>209</v>
      </c>
      <c r="P24" s="20" t="s">
        <v>215</v>
      </c>
      <c r="Q24" s="20" t="s">
        <v>119</v>
      </c>
      <c r="R24" s="20"/>
    </row>
    <row r="25" customFormat="false" ht="43.25" hidden="false" customHeight="false" outlineLevel="0" collapsed="false">
      <c r="A25" s="24" t="s">
        <v>231</v>
      </c>
      <c r="B25" s="25" t="s">
        <v>232</v>
      </c>
      <c r="C25" s="25" t="s">
        <v>69</v>
      </c>
      <c r="D25" s="25" t="s">
        <v>102</v>
      </c>
      <c r="E25" s="25" t="s">
        <v>233</v>
      </c>
      <c r="F25" s="25" t="s">
        <v>234</v>
      </c>
      <c r="G25" s="21" t="s">
        <v>22</v>
      </c>
      <c r="H25" s="25" t="s">
        <v>235</v>
      </c>
      <c r="I25" s="26" t="n">
        <v>2</v>
      </c>
      <c r="J25" s="25" t="s">
        <v>236</v>
      </c>
      <c r="K25" s="27" t="s">
        <v>46</v>
      </c>
      <c r="L25" s="25" t="s">
        <v>237</v>
      </c>
      <c r="M25" s="26" t="n">
        <v>35</v>
      </c>
      <c r="N25" s="26" t="s">
        <v>107</v>
      </c>
      <c r="O25" s="25" t="s">
        <v>209</v>
      </c>
      <c r="P25" s="25" t="s">
        <v>215</v>
      </c>
      <c r="Q25" s="25" t="s">
        <v>119</v>
      </c>
      <c r="R25" s="25" t="s">
        <v>216</v>
      </c>
    </row>
    <row r="26" customFormat="false" ht="43.25" hidden="false" customHeight="false" outlineLevel="0" collapsed="false">
      <c r="A26" s="19" t="s">
        <v>238</v>
      </c>
      <c r="B26" s="20" t="s">
        <v>239</v>
      </c>
      <c r="C26" s="20" t="s">
        <v>69</v>
      </c>
      <c r="D26" s="20" t="s">
        <v>102</v>
      </c>
      <c r="E26" s="20" t="s">
        <v>240</v>
      </c>
      <c r="F26" s="20" t="s">
        <v>241</v>
      </c>
      <c r="G26" s="21" t="s">
        <v>22</v>
      </c>
      <c r="H26" s="20"/>
      <c r="I26" s="22" t="n">
        <v>2</v>
      </c>
      <c r="J26" s="20" t="s">
        <v>242</v>
      </c>
      <c r="K26" s="23" t="s">
        <v>44</v>
      </c>
      <c r="L26" s="20" t="s">
        <v>243</v>
      </c>
      <c r="M26" s="22" t="n">
        <v>25</v>
      </c>
      <c r="N26" s="32" t="n">
        <v>30000</v>
      </c>
      <c r="O26" s="20" t="s">
        <v>126</v>
      </c>
      <c r="P26" s="20" t="s">
        <v>244</v>
      </c>
      <c r="Q26" s="20" t="s">
        <v>109</v>
      </c>
      <c r="R26" s="20" t="s">
        <v>169</v>
      </c>
    </row>
    <row r="27" customFormat="false" ht="43.25" hidden="false" customHeight="false" outlineLevel="0" collapsed="false">
      <c r="A27" s="24" t="s">
        <v>245</v>
      </c>
      <c r="B27" s="25" t="s">
        <v>246</v>
      </c>
      <c r="C27" s="25" t="s">
        <v>69</v>
      </c>
      <c r="D27" s="25" t="s">
        <v>102</v>
      </c>
      <c r="E27" s="25" t="s">
        <v>247</v>
      </c>
      <c r="F27" s="25" t="s">
        <v>248</v>
      </c>
      <c r="G27" s="28" t="s">
        <v>20</v>
      </c>
      <c r="H27" s="25" t="s">
        <v>138</v>
      </c>
      <c r="I27" s="26" t="n">
        <v>4</v>
      </c>
      <c r="J27" s="25"/>
      <c r="K27" s="25"/>
      <c r="L27" s="25"/>
      <c r="M27" s="26"/>
      <c r="N27" s="26"/>
      <c r="O27" s="25"/>
      <c r="P27" s="25"/>
      <c r="Q27" s="25"/>
      <c r="R27" s="25"/>
    </row>
    <row r="28" customFormat="false" ht="32.8" hidden="false" customHeight="false" outlineLevel="0" collapsed="false">
      <c r="A28" s="19" t="s">
        <v>249</v>
      </c>
      <c r="B28" s="20" t="s">
        <v>250</v>
      </c>
      <c r="C28" s="20" t="s">
        <v>69</v>
      </c>
      <c r="D28" s="20" t="s">
        <v>102</v>
      </c>
      <c r="E28" s="20" t="s">
        <v>251</v>
      </c>
      <c r="F28" s="20" t="s">
        <v>252</v>
      </c>
      <c r="G28" s="28" t="s">
        <v>20</v>
      </c>
      <c r="H28" s="20" t="s">
        <v>138</v>
      </c>
      <c r="I28" s="22" t="n">
        <v>4</v>
      </c>
      <c r="J28" s="20"/>
      <c r="K28" s="20"/>
      <c r="L28" s="20"/>
      <c r="M28" s="22"/>
      <c r="N28" s="22"/>
      <c r="O28" s="20"/>
      <c r="P28" s="20"/>
      <c r="Q28" s="20"/>
      <c r="R28" s="20"/>
    </row>
    <row r="29" customFormat="false" ht="32.8" hidden="false" customHeight="false" outlineLevel="0" collapsed="false">
      <c r="A29" s="24" t="s">
        <v>253</v>
      </c>
      <c r="B29" s="25" t="s">
        <v>254</v>
      </c>
      <c r="C29" s="25" t="s">
        <v>69</v>
      </c>
      <c r="D29" s="25" t="s">
        <v>102</v>
      </c>
      <c r="E29" s="25" t="s">
        <v>255</v>
      </c>
      <c r="F29" s="25" t="s">
        <v>256</v>
      </c>
      <c r="G29" s="28" t="s">
        <v>20</v>
      </c>
      <c r="H29" s="25" t="s">
        <v>138</v>
      </c>
      <c r="I29" s="26" t="n">
        <v>4</v>
      </c>
      <c r="J29" s="25"/>
      <c r="K29" s="25"/>
      <c r="L29" s="25"/>
      <c r="M29" s="26"/>
      <c r="N29" s="26"/>
      <c r="O29" s="25"/>
      <c r="P29" s="25"/>
      <c r="Q29" s="25"/>
      <c r="R29" s="25"/>
    </row>
    <row r="30" customFormat="false" ht="32.8" hidden="false" customHeight="false" outlineLevel="0" collapsed="false">
      <c r="A30" s="19" t="s">
        <v>257</v>
      </c>
      <c r="B30" s="20" t="s">
        <v>258</v>
      </c>
      <c r="C30" s="20" t="s">
        <v>69</v>
      </c>
      <c r="D30" s="20" t="s">
        <v>102</v>
      </c>
      <c r="E30" s="20" t="s">
        <v>259</v>
      </c>
      <c r="F30" s="20" t="s">
        <v>260</v>
      </c>
      <c r="G30" s="28" t="s">
        <v>20</v>
      </c>
      <c r="H30" s="20" t="s">
        <v>138</v>
      </c>
      <c r="I30" s="22" t="n">
        <v>3</v>
      </c>
      <c r="J30" s="20"/>
      <c r="K30" s="20"/>
      <c r="L30" s="20"/>
      <c r="M30" s="22"/>
      <c r="N30" s="22"/>
      <c r="O30" s="20"/>
      <c r="P30" s="20"/>
      <c r="Q30" s="20"/>
      <c r="R30" s="20"/>
    </row>
    <row r="31" customFormat="false" ht="32.8" hidden="false" customHeight="false" outlineLevel="0" collapsed="false">
      <c r="A31" s="24" t="s">
        <v>261</v>
      </c>
      <c r="B31" s="25" t="s">
        <v>262</v>
      </c>
      <c r="C31" s="25" t="s">
        <v>69</v>
      </c>
      <c r="D31" s="25" t="s">
        <v>102</v>
      </c>
      <c r="E31" s="25" t="s">
        <v>263</v>
      </c>
      <c r="F31" s="25" t="s">
        <v>264</v>
      </c>
      <c r="G31" s="28" t="s">
        <v>20</v>
      </c>
      <c r="H31" s="25" t="s">
        <v>138</v>
      </c>
      <c r="I31" s="26" t="n">
        <v>3</v>
      </c>
      <c r="J31" s="25"/>
      <c r="K31" s="25"/>
      <c r="L31" s="25"/>
      <c r="M31" s="26"/>
      <c r="N31" s="26"/>
      <c r="O31" s="25"/>
      <c r="P31" s="25"/>
      <c r="Q31" s="25"/>
      <c r="R31" s="25"/>
    </row>
    <row r="32" customFormat="false" ht="32.8" hidden="false" customHeight="false" outlineLevel="0" collapsed="false">
      <c r="A32" s="19" t="s">
        <v>265</v>
      </c>
      <c r="B32" s="20" t="s">
        <v>266</v>
      </c>
      <c r="C32" s="20" t="s">
        <v>69</v>
      </c>
      <c r="D32" s="20" t="s">
        <v>102</v>
      </c>
      <c r="E32" s="20" t="s">
        <v>267</v>
      </c>
      <c r="F32" s="20" t="s">
        <v>268</v>
      </c>
      <c r="G32" s="21" t="s">
        <v>22</v>
      </c>
      <c r="H32" s="20"/>
      <c r="I32" s="22" t="n">
        <v>2</v>
      </c>
      <c r="J32" s="20" t="s">
        <v>269</v>
      </c>
      <c r="K32" s="27" t="s">
        <v>46</v>
      </c>
      <c r="L32" s="20" t="s">
        <v>270</v>
      </c>
      <c r="M32" s="22" t="n">
        <v>10</v>
      </c>
      <c r="N32" s="22" t="s">
        <v>107</v>
      </c>
      <c r="O32" s="20" t="s">
        <v>271</v>
      </c>
      <c r="P32" s="20" t="s">
        <v>244</v>
      </c>
      <c r="Q32" s="20" t="s">
        <v>119</v>
      </c>
      <c r="R32" s="20" t="s">
        <v>272</v>
      </c>
    </row>
    <row r="33" customFormat="false" ht="32.8" hidden="false" customHeight="false" outlineLevel="0" collapsed="false">
      <c r="A33" s="24" t="s">
        <v>271</v>
      </c>
      <c r="B33" s="25" t="s">
        <v>273</v>
      </c>
      <c r="C33" s="25" t="s">
        <v>69</v>
      </c>
      <c r="D33" s="25" t="s">
        <v>102</v>
      </c>
      <c r="E33" s="25" t="s">
        <v>274</v>
      </c>
      <c r="F33" s="25" t="s">
        <v>275</v>
      </c>
      <c r="G33" s="21" t="s">
        <v>22</v>
      </c>
      <c r="H33" s="25"/>
      <c r="I33" s="26" t="n">
        <v>2</v>
      </c>
      <c r="J33" s="25" t="s">
        <v>276</v>
      </c>
      <c r="K33" s="27" t="s">
        <v>46</v>
      </c>
      <c r="L33" s="25" t="s">
        <v>277</v>
      </c>
      <c r="M33" s="26" t="n">
        <v>20</v>
      </c>
      <c r="N33" s="26" t="s">
        <v>107</v>
      </c>
      <c r="O33" s="25" t="s">
        <v>278</v>
      </c>
      <c r="P33" s="25" t="s">
        <v>244</v>
      </c>
      <c r="Q33" s="25" t="s">
        <v>119</v>
      </c>
      <c r="R33" s="25" t="s">
        <v>272</v>
      </c>
    </row>
    <row r="34" customFormat="false" ht="32.8" hidden="false" customHeight="false" outlineLevel="0" collapsed="false">
      <c r="A34" s="19" t="s">
        <v>279</v>
      </c>
      <c r="B34" s="20" t="s">
        <v>280</v>
      </c>
      <c r="C34" s="20" t="s">
        <v>69</v>
      </c>
      <c r="D34" s="20" t="s">
        <v>102</v>
      </c>
      <c r="E34" s="20" t="s">
        <v>281</v>
      </c>
      <c r="F34" s="20" t="s">
        <v>282</v>
      </c>
      <c r="G34" s="28" t="s">
        <v>20</v>
      </c>
      <c r="H34" s="20" t="s">
        <v>138</v>
      </c>
      <c r="I34" s="22" t="n">
        <v>3</v>
      </c>
      <c r="J34" s="20"/>
      <c r="K34" s="20"/>
      <c r="L34" s="20"/>
      <c r="M34" s="22"/>
      <c r="N34" s="22"/>
      <c r="O34" s="20"/>
      <c r="P34" s="20"/>
      <c r="Q34" s="20"/>
      <c r="R34" s="20"/>
    </row>
    <row r="35" customFormat="false" ht="32.8" hidden="false" customHeight="false" outlineLevel="0" collapsed="false">
      <c r="A35" s="24" t="s">
        <v>283</v>
      </c>
      <c r="B35" s="25" t="s">
        <v>284</v>
      </c>
      <c r="C35" s="25" t="s">
        <v>69</v>
      </c>
      <c r="D35" s="25" t="s">
        <v>102</v>
      </c>
      <c r="E35" s="25" t="s">
        <v>285</v>
      </c>
      <c r="F35" s="25" t="s">
        <v>286</v>
      </c>
      <c r="G35" s="21" t="s">
        <v>22</v>
      </c>
      <c r="H35" s="25"/>
      <c r="I35" s="26" t="n">
        <v>2</v>
      </c>
      <c r="J35" s="25" t="s">
        <v>287</v>
      </c>
      <c r="K35" s="29" t="s">
        <v>48</v>
      </c>
      <c r="L35" s="25" t="s">
        <v>288</v>
      </c>
      <c r="M35" s="26" t="n">
        <v>5</v>
      </c>
      <c r="N35" s="26" t="s">
        <v>107</v>
      </c>
      <c r="O35" s="25" t="s">
        <v>238</v>
      </c>
      <c r="P35" s="25" t="s">
        <v>244</v>
      </c>
      <c r="Q35" s="25" t="s">
        <v>146</v>
      </c>
      <c r="R35" s="25" t="s">
        <v>169</v>
      </c>
    </row>
    <row r="36" customFormat="false" ht="32.8" hidden="false" customHeight="false" outlineLevel="0" collapsed="false">
      <c r="A36" s="19" t="s">
        <v>289</v>
      </c>
      <c r="B36" s="20" t="s">
        <v>290</v>
      </c>
      <c r="C36" s="20" t="s">
        <v>69</v>
      </c>
      <c r="D36" s="20" t="s">
        <v>102</v>
      </c>
      <c r="E36" s="20" t="s">
        <v>291</v>
      </c>
      <c r="F36" s="20" t="s">
        <v>292</v>
      </c>
      <c r="G36" s="21" t="s">
        <v>22</v>
      </c>
      <c r="H36" s="20" t="s">
        <v>293</v>
      </c>
      <c r="I36" s="22" t="n">
        <v>2</v>
      </c>
      <c r="J36" s="20" t="s">
        <v>294</v>
      </c>
      <c r="K36" s="27" t="s">
        <v>46</v>
      </c>
      <c r="L36" s="20" t="s">
        <v>295</v>
      </c>
      <c r="M36" s="22" t="n">
        <v>25</v>
      </c>
      <c r="N36" s="22" t="s">
        <v>107</v>
      </c>
      <c r="O36" s="20" t="s">
        <v>126</v>
      </c>
      <c r="P36" s="20" t="s">
        <v>168</v>
      </c>
      <c r="Q36" s="20" t="s">
        <v>119</v>
      </c>
      <c r="R36" s="20" t="s">
        <v>296</v>
      </c>
    </row>
    <row r="37" customFormat="false" ht="32.8" hidden="false" customHeight="false" outlineLevel="0" collapsed="false">
      <c r="A37" s="24" t="s">
        <v>297</v>
      </c>
      <c r="B37" s="25" t="s">
        <v>298</v>
      </c>
      <c r="C37" s="25" t="s">
        <v>69</v>
      </c>
      <c r="D37" s="25" t="s">
        <v>102</v>
      </c>
      <c r="E37" s="25" t="s">
        <v>299</v>
      </c>
      <c r="F37" s="25" t="s">
        <v>300</v>
      </c>
      <c r="G37" s="21" t="s">
        <v>22</v>
      </c>
      <c r="H37" s="25"/>
      <c r="I37" s="26" t="n">
        <v>2</v>
      </c>
      <c r="J37" s="25" t="s">
        <v>301</v>
      </c>
      <c r="K37" s="27" t="s">
        <v>46</v>
      </c>
      <c r="L37" s="25" t="s">
        <v>302</v>
      </c>
      <c r="M37" s="26" t="n">
        <v>8</v>
      </c>
      <c r="N37" s="26" t="s">
        <v>107</v>
      </c>
      <c r="O37" s="25" t="s">
        <v>289</v>
      </c>
      <c r="P37" s="25" t="s">
        <v>303</v>
      </c>
      <c r="Q37" s="25" t="s">
        <v>119</v>
      </c>
      <c r="R37" s="25" t="s">
        <v>296</v>
      </c>
    </row>
    <row r="38" customFormat="false" ht="32.8" hidden="false" customHeight="false" outlineLevel="0" collapsed="false">
      <c r="A38" s="19" t="s">
        <v>304</v>
      </c>
      <c r="B38" s="20" t="s">
        <v>305</v>
      </c>
      <c r="C38" s="20" t="s">
        <v>69</v>
      </c>
      <c r="D38" s="20" t="s">
        <v>102</v>
      </c>
      <c r="E38" s="20" t="s">
        <v>306</v>
      </c>
      <c r="F38" s="20" t="s">
        <v>307</v>
      </c>
      <c r="G38" s="21" t="s">
        <v>22</v>
      </c>
      <c r="H38" s="20"/>
      <c r="I38" s="22" t="n">
        <v>2</v>
      </c>
      <c r="J38" s="20" t="s">
        <v>308</v>
      </c>
      <c r="K38" s="27" t="s">
        <v>46</v>
      </c>
      <c r="L38" s="20" t="s">
        <v>309</v>
      </c>
      <c r="M38" s="22" t="n">
        <v>5</v>
      </c>
      <c r="N38" s="22" t="s">
        <v>107</v>
      </c>
      <c r="O38" s="20" t="s">
        <v>310</v>
      </c>
      <c r="P38" s="20" t="s">
        <v>311</v>
      </c>
      <c r="Q38" s="20" t="s">
        <v>119</v>
      </c>
      <c r="R38" s="20"/>
    </row>
    <row r="39" customFormat="false" ht="43.25" hidden="false" customHeight="false" outlineLevel="0" collapsed="false">
      <c r="A39" s="24" t="s">
        <v>312</v>
      </c>
      <c r="B39" s="25" t="s">
        <v>313</v>
      </c>
      <c r="C39" s="25" t="s">
        <v>69</v>
      </c>
      <c r="D39" s="25" t="s">
        <v>102</v>
      </c>
      <c r="E39" s="25" t="s">
        <v>314</v>
      </c>
      <c r="F39" s="25" t="s">
        <v>315</v>
      </c>
      <c r="G39" s="21" t="s">
        <v>22</v>
      </c>
      <c r="H39" s="25" t="s">
        <v>316</v>
      </c>
      <c r="I39" s="26" t="n">
        <v>2</v>
      </c>
      <c r="J39" s="25" t="s">
        <v>317</v>
      </c>
      <c r="K39" s="27" t="s">
        <v>46</v>
      </c>
      <c r="L39" s="25" t="s">
        <v>318</v>
      </c>
      <c r="M39" s="26" t="n">
        <v>20</v>
      </c>
      <c r="N39" s="30" t="n">
        <v>120000</v>
      </c>
      <c r="O39" s="25" t="s">
        <v>107</v>
      </c>
      <c r="P39" s="25" t="s">
        <v>118</v>
      </c>
      <c r="Q39" s="25" t="s">
        <v>119</v>
      </c>
      <c r="R39" s="25" t="s">
        <v>319</v>
      </c>
    </row>
    <row r="40" customFormat="false" ht="32.8" hidden="false" customHeight="false" outlineLevel="0" collapsed="false">
      <c r="A40" s="19" t="s">
        <v>320</v>
      </c>
      <c r="B40" s="20" t="s">
        <v>321</v>
      </c>
      <c r="C40" s="20" t="s">
        <v>69</v>
      </c>
      <c r="D40" s="20" t="s">
        <v>102</v>
      </c>
      <c r="E40" s="20" t="s">
        <v>322</v>
      </c>
      <c r="F40" s="20" t="s">
        <v>323</v>
      </c>
      <c r="G40" s="21" t="s">
        <v>22</v>
      </c>
      <c r="H40" s="20"/>
      <c r="I40" s="22" t="n">
        <v>2</v>
      </c>
      <c r="J40" s="20" t="s">
        <v>324</v>
      </c>
      <c r="K40" s="29" t="s">
        <v>48</v>
      </c>
      <c r="L40" s="20" t="s">
        <v>325</v>
      </c>
      <c r="M40" s="22" t="n">
        <v>18</v>
      </c>
      <c r="N40" s="22" t="s">
        <v>107</v>
      </c>
      <c r="O40" s="20" t="s">
        <v>312</v>
      </c>
      <c r="P40" s="20" t="s">
        <v>244</v>
      </c>
      <c r="Q40" s="20" t="s">
        <v>146</v>
      </c>
      <c r="R40" s="20" t="s">
        <v>319</v>
      </c>
    </row>
    <row r="41" customFormat="false" ht="43.25" hidden="false" customHeight="false" outlineLevel="0" collapsed="false">
      <c r="A41" s="24" t="s">
        <v>326</v>
      </c>
      <c r="B41" s="25" t="s">
        <v>327</v>
      </c>
      <c r="C41" s="25" t="s">
        <v>70</v>
      </c>
      <c r="D41" s="25" t="s">
        <v>102</v>
      </c>
      <c r="E41" s="25" t="s">
        <v>328</v>
      </c>
      <c r="F41" s="25" t="s">
        <v>329</v>
      </c>
      <c r="G41" s="28" t="s">
        <v>20</v>
      </c>
      <c r="H41" s="25" t="s">
        <v>138</v>
      </c>
      <c r="I41" s="26" t="n">
        <v>3</v>
      </c>
      <c r="J41" s="25"/>
      <c r="K41" s="25"/>
      <c r="L41" s="25"/>
      <c r="M41" s="26"/>
      <c r="N41" s="26"/>
      <c r="O41" s="25"/>
      <c r="P41" s="25"/>
      <c r="Q41" s="25"/>
      <c r="R41" s="25"/>
    </row>
    <row r="42" customFormat="false" ht="32.8" hidden="false" customHeight="false" outlineLevel="0" collapsed="false">
      <c r="A42" s="19" t="s">
        <v>330</v>
      </c>
      <c r="B42" s="20" t="s">
        <v>331</v>
      </c>
      <c r="C42" s="20" t="s">
        <v>70</v>
      </c>
      <c r="D42" s="20" t="s">
        <v>102</v>
      </c>
      <c r="E42" s="20" t="s">
        <v>332</v>
      </c>
      <c r="F42" s="20" t="s">
        <v>333</v>
      </c>
      <c r="G42" s="28" t="s">
        <v>20</v>
      </c>
      <c r="H42" s="20" t="s">
        <v>138</v>
      </c>
      <c r="I42" s="22" t="n">
        <v>3</v>
      </c>
      <c r="J42" s="20"/>
      <c r="K42" s="20"/>
      <c r="L42" s="20"/>
      <c r="M42" s="22"/>
      <c r="N42" s="22"/>
      <c r="O42" s="20"/>
      <c r="P42" s="20"/>
      <c r="Q42" s="20"/>
      <c r="R42" s="20"/>
    </row>
    <row r="43" customFormat="false" ht="43.25" hidden="false" customHeight="false" outlineLevel="0" collapsed="false">
      <c r="A43" s="24" t="s">
        <v>334</v>
      </c>
      <c r="B43" s="25" t="s">
        <v>335</v>
      </c>
      <c r="C43" s="25" t="s">
        <v>70</v>
      </c>
      <c r="D43" s="25" t="s">
        <v>102</v>
      </c>
      <c r="E43" s="25" t="s">
        <v>336</v>
      </c>
      <c r="F43" s="25" t="s">
        <v>337</v>
      </c>
      <c r="G43" s="21" t="s">
        <v>22</v>
      </c>
      <c r="H43" s="25" t="s">
        <v>338</v>
      </c>
      <c r="I43" s="26" t="n">
        <v>2</v>
      </c>
      <c r="J43" s="25" t="s">
        <v>339</v>
      </c>
      <c r="K43" s="27" t="s">
        <v>46</v>
      </c>
      <c r="L43" s="25" t="s">
        <v>340</v>
      </c>
      <c r="M43" s="26" t="n">
        <v>30</v>
      </c>
      <c r="N43" s="30" t="n">
        <v>45000</v>
      </c>
      <c r="O43" s="25" t="s">
        <v>107</v>
      </c>
      <c r="P43" s="25" t="s">
        <v>108</v>
      </c>
      <c r="Q43" s="25" t="s">
        <v>119</v>
      </c>
      <c r="R43" s="25" t="s">
        <v>341</v>
      </c>
    </row>
    <row r="44" customFormat="false" ht="32.8" hidden="false" customHeight="false" outlineLevel="0" collapsed="false">
      <c r="A44" s="19" t="s">
        <v>342</v>
      </c>
      <c r="B44" s="20" t="s">
        <v>343</v>
      </c>
      <c r="C44" s="20" t="s">
        <v>70</v>
      </c>
      <c r="D44" s="20" t="s">
        <v>102</v>
      </c>
      <c r="E44" s="20" t="s">
        <v>344</v>
      </c>
      <c r="F44" s="20" t="s">
        <v>345</v>
      </c>
      <c r="G44" s="28" t="s">
        <v>20</v>
      </c>
      <c r="H44" s="20" t="s">
        <v>138</v>
      </c>
      <c r="I44" s="22" t="n">
        <v>3</v>
      </c>
      <c r="J44" s="20"/>
      <c r="K44" s="20"/>
      <c r="L44" s="20"/>
      <c r="M44" s="22"/>
      <c r="N44" s="22"/>
      <c r="O44" s="20"/>
      <c r="P44" s="20"/>
      <c r="Q44" s="20"/>
      <c r="R44" s="20"/>
    </row>
    <row r="45" customFormat="false" ht="32.8" hidden="false" customHeight="false" outlineLevel="0" collapsed="false">
      <c r="A45" s="24" t="s">
        <v>346</v>
      </c>
      <c r="B45" s="25" t="s">
        <v>347</v>
      </c>
      <c r="C45" s="25" t="s">
        <v>70</v>
      </c>
      <c r="D45" s="25" t="s">
        <v>102</v>
      </c>
      <c r="E45" s="25" t="s">
        <v>348</v>
      </c>
      <c r="F45" s="25" t="s">
        <v>349</v>
      </c>
      <c r="G45" s="28" t="s">
        <v>20</v>
      </c>
      <c r="H45" s="25" t="s">
        <v>138</v>
      </c>
      <c r="I45" s="26" t="n">
        <v>3</v>
      </c>
      <c r="J45" s="25"/>
      <c r="K45" s="25"/>
      <c r="L45" s="25"/>
      <c r="M45" s="26"/>
      <c r="N45" s="26"/>
      <c r="O45" s="25"/>
      <c r="P45" s="25"/>
      <c r="Q45" s="25"/>
      <c r="R45" s="25"/>
    </row>
    <row r="46" customFormat="false" ht="32.8" hidden="false" customHeight="false" outlineLevel="0" collapsed="false">
      <c r="A46" s="19" t="s">
        <v>350</v>
      </c>
      <c r="B46" s="20" t="s">
        <v>351</v>
      </c>
      <c r="C46" s="20" t="s">
        <v>70</v>
      </c>
      <c r="D46" s="20" t="s">
        <v>102</v>
      </c>
      <c r="E46" s="20" t="s">
        <v>352</v>
      </c>
      <c r="F46" s="20" t="s">
        <v>353</v>
      </c>
      <c r="G46" s="21" t="s">
        <v>22</v>
      </c>
      <c r="H46" s="20"/>
      <c r="I46" s="22" t="n">
        <v>2</v>
      </c>
      <c r="J46" s="20" t="s">
        <v>354</v>
      </c>
      <c r="K46" s="29" t="s">
        <v>48</v>
      </c>
      <c r="L46" s="20" t="s">
        <v>355</v>
      </c>
      <c r="M46" s="22" t="n">
        <v>8</v>
      </c>
      <c r="N46" s="22" t="s">
        <v>107</v>
      </c>
      <c r="O46" s="20" t="s">
        <v>107</v>
      </c>
      <c r="P46" s="20" t="s">
        <v>224</v>
      </c>
      <c r="Q46" s="20" t="s">
        <v>146</v>
      </c>
      <c r="R46" s="20"/>
    </row>
    <row r="47" customFormat="false" ht="32.8" hidden="false" customHeight="false" outlineLevel="0" collapsed="false">
      <c r="A47" s="24" t="s">
        <v>356</v>
      </c>
      <c r="B47" s="25" t="s">
        <v>357</v>
      </c>
      <c r="C47" s="25" t="s">
        <v>70</v>
      </c>
      <c r="D47" s="25" t="s">
        <v>102</v>
      </c>
      <c r="E47" s="25" t="s">
        <v>358</v>
      </c>
      <c r="F47" s="25" t="s">
        <v>359</v>
      </c>
      <c r="G47" s="28" t="s">
        <v>20</v>
      </c>
      <c r="H47" s="25" t="s">
        <v>138</v>
      </c>
      <c r="I47" s="26" t="n">
        <v>3</v>
      </c>
      <c r="J47" s="25"/>
      <c r="K47" s="25"/>
      <c r="L47" s="25"/>
      <c r="M47" s="26"/>
      <c r="N47" s="26"/>
      <c r="O47" s="25"/>
      <c r="P47" s="25"/>
      <c r="Q47" s="25"/>
      <c r="R47" s="25"/>
    </row>
    <row r="48" customFormat="false" ht="43.25" hidden="false" customHeight="false" outlineLevel="0" collapsed="false">
      <c r="A48" s="19" t="s">
        <v>360</v>
      </c>
      <c r="B48" s="20" t="s">
        <v>361</v>
      </c>
      <c r="C48" s="20" t="s">
        <v>70</v>
      </c>
      <c r="D48" s="20" t="s">
        <v>102</v>
      </c>
      <c r="E48" s="20" t="s">
        <v>362</v>
      </c>
      <c r="F48" s="20" t="s">
        <v>363</v>
      </c>
      <c r="G48" s="28" t="s">
        <v>20</v>
      </c>
      <c r="H48" s="20" t="s">
        <v>138</v>
      </c>
      <c r="I48" s="22" t="n">
        <v>4</v>
      </c>
      <c r="J48" s="20"/>
      <c r="K48" s="20"/>
      <c r="L48" s="20"/>
      <c r="M48" s="22"/>
      <c r="N48" s="22"/>
      <c r="O48" s="20"/>
      <c r="P48" s="20"/>
      <c r="Q48" s="20"/>
      <c r="R48" s="20"/>
    </row>
    <row r="49" customFormat="false" ht="43.25" hidden="false" customHeight="false" outlineLevel="0" collapsed="false">
      <c r="A49" s="24" t="s">
        <v>364</v>
      </c>
      <c r="B49" s="25" t="s">
        <v>365</v>
      </c>
      <c r="C49" s="25" t="s">
        <v>71</v>
      </c>
      <c r="D49" s="25" t="s">
        <v>102</v>
      </c>
      <c r="E49" s="25" t="s">
        <v>366</v>
      </c>
      <c r="F49" s="25" t="s">
        <v>367</v>
      </c>
      <c r="G49" s="21" t="s">
        <v>22</v>
      </c>
      <c r="H49" s="25"/>
      <c r="I49" s="26" t="n">
        <v>2</v>
      </c>
      <c r="J49" s="25" t="s">
        <v>368</v>
      </c>
      <c r="K49" s="29" t="s">
        <v>48</v>
      </c>
      <c r="L49" s="25" t="s">
        <v>369</v>
      </c>
      <c r="M49" s="26" t="n">
        <v>5</v>
      </c>
      <c r="N49" s="26" t="s">
        <v>107</v>
      </c>
      <c r="O49" s="25" t="s">
        <v>370</v>
      </c>
      <c r="P49" s="25" t="s">
        <v>371</v>
      </c>
      <c r="Q49" s="25" t="s">
        <v>146</v>
      </c>
      <c r="R49" s="25" t="s">
        <v>372</v>
      </c>
    </row>
    <row r="50" customFormat="false" ht="43.25" hidden="false" customHeight="false" outlineLevel="0" collapsed="false">
      <c r="A50" s="19" t="s">
        <v>370</v>
      </c>
      <c r="B50" s="20" t="s">
        <v>373</v>
      </c>
      <c r="C50" s="20" t="s">
        <v>71</v>
      </c>
      <c r="D50" s="20" t="s">
        <v>102</v>
      </c>
      <c r="E50" s="20" t="s">
        <v>374</v>
      </c>
      <c r="F50" s="20" t="s">
        <v>375</v>
      </c>
      <c r="G50" s="21" t="s">
        <v>22</v>
      </c>
      <c r="H50" s="20"/>
      <c r="I50" s="22" t="n">
        <v>2</v>
      </c>
      <c r="J50" s="20" t="s">
        <v>376</v>
      </c>
      <c r="K50" s="27" t="s">
        <v>46</v>
      </c>
      <c r="L50" s="20" t="s">
        <v>377</v>
      </c>
      <c r="M50" s="22" t="n">
        <v>12</v>
      </c>
      <c r="N50" s="32" t="n">
        <v>35000</v>
      </c>
      <c r="O50" s="20" t="s">
        <v>107</v>
      </c>
      <c r="P50" s="20" t="s">
        <v>371</v>
      </c>
      <c r="Q50" s="20" t="s">
        <v>119</v>
      </c>
      <c r="R50" s="20" t="s">
        <v>372</v>
      </c>
    </row>
    <row r="51" customFormat="false" ht="32.8" hidden="false" customHeight="false" outlineLevel="0" collapsed="false">
      <c r="A51" s="24" t="s">
        <v>378</v>
      </c>
      <c r="B51" s="25" t="s">
        <v>379</v>
      </c>
      <c r="C51" s="25" t="s">
        <v>71</v>
      </c>
      <c r="D51" s="25" t="s">
        <v>102</v>
      </c>
      <c r="E51" s="25" t="s">
        <v>380</v>
      </c>
      <c r="F51" s="25" t="s">
        <v>381</v>
      </c>
      <c r="G51" s="28" t="s">
        <v>20</v>
      </c>
      <c r="H51" s="25" t="s">
        <v>138</v>
      </c>
      <c r="I51" s="26" t="n">
        <v>3</v>
      </c>
      <c r="J51" s="25"/>
      <c r="K51" s="25"/>
      <c r="L51" s="25"/>
      <c r="M51" s="26"/>
      <c r="N51" s="26"/>
      <c r="O51" s="25"/>
      <c r="P51" s="25"/>
      <c r="Q51" s="25"/>
      <c r="R51" s="25"/>
    </row>
    <row r="52" customFormat="false" ht="32.8" hidden="false" customHeight="false" outlineLevel="0" collapsed="false">
      <c r="A52" s="19" t="s">
        <v>382</v>
      </c>
      <c r="B52" s="20" t="s">
        <v>383</v>
      </c>
      <c r="C52" s="20" t="s">
        <v>71</v>
      </c>
      <c r="D52" s="20" t="s">
        <v>102</v>
      </c>
      <c r="E52" s="20" t="s">
        <v>384</v>
      </c>
      <c r="F52" s="20" t="s">
        <v>385</v>
      </c>
      <c r="G52" s="21" t="s">
        <v>22</v>
      </c>
      <c r="H52" s="20"/>
      <c r="I52" s="22" t="n">
        <v>2</v>
      </c>
      <c r="J52" s="20" t="s">
        <v>386</v>
      </c>
      <c r="K52" s="29" t="s">
        <v>48</v>
      </c>
      <c r="L52" s="20" t="s">
        <v>387</v>
      </c>
      <c r="M52" s="22" t="n">
        <v>6</v>
      </c>
      <c r="N52" s="32" t="n">
        <v>18000</v>
      </c>
      <c r="O52" s="20" t="s">
        <v>370</v>
      </c>
      <c r="P52" s="20" t="s">
        <v>371</v>
      </c>
      <c r="Q52" s="20" t="s">
        <v>146</v>
      </c>
      <c r="R52" s="20" t="s">
        <v>372</v>
      </c>
    </row>
    <row r="53" customFormat="false" ht="43.25" hidden="false" customHeight="false" outlineLevel="0" collapsed="false">
      <c r="A53" s="24" t="s">
        <v>388</v>
      </c>
      <c r="B53" s="25" t="s">
        <v>389</v>
      </c>
      <c r="C53" s="25" t="s">
        <v>71</v>
      </c>
      <c r="D53" s="25" t="s">
        <v>102</v>
      </c>
      <c r="E53" s="25" t="s">
        <v>390</v>
      </c>
      <c r="F53" s="25" t="s">
        <v>391</v>
      </c>
      <c r="G53" s="28" t="s">
        <v>20</v>
      </c>
      <c r="H53" s="25" t="s">
        <v>138</v>
      </c>
      <c r="I53" s="26" t="n">
        <v>3</v>
      </c>
      <c r="J53" s="25"/>
      <c r="K53" s="25"/>
      <c r="L53" s="25"/>
      <c r="M53" s="26"/>
      <c r="N53" s="26"/>
      <c r="O53" s="25"/>
      <c r="P53" s="25"/>
      <c r="Q53" s="25"/>
      <c r="R53" s="25"/>
    </row>
    <row r="54" customFormat="false" ht="32.8" hidden="false" customHeight="false" outlineLevel="0" collapsed="false">
      <c r="A54" s="19" t="s">
        <v>392</v>
      </c>
      <c r="B54" s="20" t="s">
        <v>393</v>
      </c>
      <c r="C54" s="20" t="s">
        <v>71</v>
      </c>
      <c r="D54" s="20" t="s">
        <v>102</v>
      </c>
      <c r="E54" s="20" t="s">
        <v>394</v>
      </c>
      <c r="F54" s="20" t="s">
        <v>395</v>
      </c>
      <c r="G54" s="28" t="s">
        <v>20</v>
      </c>
      <c r="H54" s="20" t="s">
        <v>138</v>
      </c>
      <c r="I54" s="22" t="n">
        <v>3</v>
      </c>
      <c r="J54" s="20"/>
      <c r="K54" s="20"/>
      <c r="L54" s="20"/>
      <c r="M54" s="22"/>
      <c r="N54" s="22"/>
      <c r="O54" s="20"/>
      <c r="P54" s="20"/>
      <c r="Q54" s="20"/>
      <c r="R54" s="20"/>
    </row>
    <row r="55" customFormat="false" ht="32.8" hidden="false" customHeight="false" outlineLevel="0" collapsed="false">
      <c r="A55" s="24" t="s">
        <v>396</v>
      </c>
      <c r="B55" s="25" t="s">
        <v>397</v>
      </c>
      <c r="C55" s="25" t="s">
        <v>71</v>
      </c>
      <c r="D55" s="25" t="s">
        <v>102</v>
      </c>
      <c r="E55" s="25" t="s">
        <v>398</v>
      </c>
      <c r="F55" s="25" t="s">
        <v>399</v>
      </c>
      <c r="G55" s="21" t="s">
        <v>22</v>
      </c>
      <c r="H55" s="25" t="s">
        <v>400</v>
      </c>
      <c r="I55" s="26" t="n">
        <v>2</v>
      </c>
      <c r="J55" s="25" t="s">
        <v>401</v>
      </c>
      <c r="K55" s="29" t="s">
        <v>48</v>
      </c>
      <c r="L55" s="25" t="s">
        <v>402</v>
      </c>
      <c r="M55" s="26" t="n">
        <v>4</v>
      </c>
      <c r="N55" s="26" t="s">
        <v>107</v>
      </c>
      <c r="O55" s="25" t="s">
        <v>107</v>
      </c>
      <c r="P55" s="25" t="s">
        <v>371</v>
      </c>
      <c r="Q55" s="25" t="s">
        <v>146</v>
      </c>
      <c r="R55" s="25"/>
    </row>
    <row r="56" customFormat="false" ht="22.35" hidden="false" customHeight="false" outlineLevel="0" collapsed="false">
      <c r="A56" s="19" t="s">
        <v>403</v>
      </c>
      <c r="B56" s="20" t="s">
        <v>404</v>
      </c>
      <c r="C56" s="20" t="s">
        <v>71</v>
      </c>
      <c r="D56" s="20" t="s">
        <v>102</v>
      </c>
      <c r="E56" s="20" t="s">
        <v>405</v>
      </c>
      <c r="F56" s="20" t="s">
        <v>406</v>
      </c>
      <c r="G56" s="28" t="s">
        <v>20</v>
      </c>
      <c r="H56" s="20" t="s">
        <v>138</v>
      </c>
      <c r="I56" s="22" t="n">
        <v>3</v>
      </c>
      <c r="J56" s="20"/>
      <c r="K56" s="20"/>
      <c r="L56" s="20"/>
      <c r="M56" s="22"/>
      <c r="N56" s="22"/>
      <c r="O56" s="20"/>
      <c r="P56" s="20"/>
      <c r="Q56" s="20"/>
      <c r="R56" s="20"/>
    </row>
    <row r="57" customFormat="false" ht="32.8" hidden="false" customHeight="false" outlineLevel="0" collapsed="false">
      <c r="A57" s="24" t="s">
        <v>407</v>
      </c>
      <c r="B57" s="25" t="s">
        <v>408</v>
      </c>
      <c r="C57" s="25" t="s">
        <v>71</v>
      </c>
      <c r="D57" s="25" t="s">
        <v>102</v>
      </c>
      <c r="E57" s="25" t="s">
        <v>409</v>
      </c>
      <c r="F57" s="25" t="s">
        <v>410</v>
      </c>
      <c r="G57" s="28" t="s">
        <v>20</v>
      </c>
      <c r="H57" s="25" t="s">
        <v>138</v>
      </c>
      <c r="I57" s="26" t="n">
        <v>3</v>
      </c>
      <c r="J57" s="25"/>
      <c r="K57" s="25"/>
      <c r="L57" s="25"/>
      <c r="M57" s="26"/>
      <c r="N57" s="26"/>
      <c r="O57" s="25"/>
      <c r="P57" s="25"/>
      <c r="Q57" s="25"/>
      <c r="R57" s="25"/>
    </row>
    <row r="58" customFormat="false" ht="32.8" hidden="false" customHeight="false" outlineLevel="0" collapsed="false">
      <c r="A58" s="19" t="s">
        <v>411</v>
      </c>
      <c r="B58" s="20" t="s">
        <v>412</v>
      </c>
      <c r="C58" s="20" t="s">
        <v>71</v>
      </c>
      <c r="D58" s="20" t="s">
        <v>102</v>
      </c>
      <c r="E58" s="20" t="s">
        <v>413</v>
      </c>
      <c r="F58" s="20" t="s">
        <v>414</v>
      </c>
      <c r="G58" s="28" t="s">
        <v>20</v>
      </c>
      <c r="H58" s="20" t="s">
        <v>138</v>
      </c>
      <c r="I58" s="22" t="n">
        <v>3</v>
      </c>
      <c r="J58" s="20"/>
      <c r="K58" s="20"/>
      <c r="L58" s="20"/>
      <c r="M58" s="22"/>
      <c r="N58" s="22"/>
      <c r="O58" s="20"/>
      <c r="P58" s="20"/>
      <c r="Q58" s="20"/>
      <c r="R58" s="20"/>
    </row>
    <row r="59" customFormat="false" ht="32.8" hidden="false" customHeight="false" outlineLevel="0" collapsed="false">
      <c r="A59" s="24" t="s">
        <v>415</v>
      </c>
      <c r="B59" s="25" t="s">
        <v>416</v>
      </c>
      <c r="C59" s="25" t="s">
        <v>71</v>
      </c>
      <c r="D59" s="25" t="s">
        <v>102</v>
      </c>
      <c r="E59" s="25" t="s">
        <v>417</v>
      </c>
      <c r="F59" s="25" t="s">
        <v>418</v>
      </c>
      <c r="G59" s="28" t="s">
        <v>20</v>
      </c>
      <c r="H59" s="25" t="s">
        <v>138</v>
      </c>
      <c r="I59" s="26" t="n">
        <v>3</v>
      </c>
      <c r="J59" s="25"/>
      <c r="K59" s="25"/>
      <c r="L59" s="25"/>
      <c r="M59" s="26"/>
      <c r="N59" s="26"/>
      <c r="O59" s="25"/>
      <c r="P59" s="25"/>
      <c r="Q59" s="25"/>
      <c r="R59" s="25"/>
    </row>
    <row r="60" customFormat="false" ht="32.8" hidden="false" customHeight="false" outlineLevel="0" collapsed="false">
      <c r="A60" s="19" t="s">
        <v>419</v>
      </c>
      <c r="B60" s="20" t="s">
        <v>420</v>
      </c>
      <c r="C60" s="20" t="s">
        <v>71</v>
      </c>
      <c r="D60" s="20" t="s">
        <v>102</v>
      </c>
      <c r="E60" s="20" t="s">
        <v>421</v>
      </c>
      <c r="F60" s="20" t="s">
        <v>422</v>
      </c>
      <c r="G60" s="21" t="s">
        <v>22</v>
      </c>
      <c r="H60" s="20"/>
      <c r="I60" s="22" t="n">
        <v>2</v>
      </c>
      <c r="J60" s="20" t="s">
        <v>423</v>
      </c>
      <c r="K60" s="33" t="s">
        <v>50</v>
      </c>
      <c r="L60" s="20" t="s">
        <v>424</v>
      </c>
      <c r="M60" s="22" t="n">
        <v>2</v>
      </c>
      <c r="N60" s="22" t="s">
        <v>107</v>
      </c>
      <c r="O60" s="20" t="s">
        <v>370</v>
      </c>
      <c r="P60" s="20" t="s">
        <v>371</v>
      </c>
      <c r="Q60" s="20" t="s">
        <v>425</v>
      </c>
      <c r="R60" s="20" t="s">
        <v>372</v>
      </c>
    </row>
    <row r="61" customFormat="false" ht="32.8" hidden="false" customHeight="false" outlineLevel="0" collapsed="false">
      <c r="A61" s="24" t="s">
        <v>426</v>
      </c>
      <c r="B61" s="25" t="s">
        <v>427</v>
      </c>
      <c r="C61" s="25" t="s">
        <v>71</v>
      </c>
      <c r="D61" s="25" t="s">
        <v>102</v>
      </c>
      <c r="E61" s="25" t="s">
        <v>428</v>
      </c>
      <c r="F61" s="25" t="s">
        <v>429</v>
      </c>
      <c r="G61" s="28" t="s">
        <v>20</v>
      </c>
      <c r="H61" s="25" t="s">
        <v>138</v>
      </c>
      <c r="I61" s="26" t="n">
        <v>3</v>
      </c>
      <c r="J61" s="25"/>
      <c r="K61" s="25"/>
      <c r="L61" s="25"/>
      <c r="M61" s="26"/>
      <c r="N61" s="26"/>
      <c r="O61" s="25"/>
      <c r="P61" s="25"/>
      <c r="Q61" s="25"/>
      <c r="R61" s="25"/>
    </row>
    <row r="62" customFormat="false" ht="32.8" hidden="false" customHeight="false" outlineLevel="0" collapsed="false">
      <c r="A62" s="19" t="s">
        <v>430</v>
      </c>
      <c r="B62" s="20" t="s">
        <v>431</v>
      </c>
      <c r="C62" s="20" t="s">
        <v>71</v>
      </c>
      <c r="D62" s="20" t="s">
        <v>102</v>
      </c>
      <c r="E62" s="20" t="s">
        <v>432</v>
      </c>
      <c r="F62" s="20" t="s">
        <v>433</v>
      </c>
      <c r="G62" s="28" t="s">
        <v>20</v>
      </c>
      <c r="H62" s="20" t="s">
        <v>138</v>
      </c>
      <c r="I62" s="22" t="n">
        <v>3</v>
      </c>
      <c r="J62" s="20"/>
      <c r="K62" s="20"/>
      <c r="L62" s="20"/>
      <c r="M62" s="22"/>
      <c r="N62" s="22"/>
      <c r="O62" s="20"/>
      <c r="P62" s="20"/>
      <c r="Q62" s="20"/>
      <c r="R62" s="20"/>
    </row>
    <row r="63" customFormat="false" ht="32.8" hidden="false" customHeight="false" outlineLevel="0" collapsed="false">
      <c r="A63" s="24" t="s">
        <v>434</v>
      </c>
      <c r="B63" s="25" t="s">
        <v>435</v>
      </c>
      <c r="C63" s="25" t="s">
        <v>72</v>
      </c>
      <c r="D63" s="25" t="s">
        <v>102</v>
      </c>
      <c r="E63" s="25" t="s">
        <v>436</v>
      </c>
      <c r="F63" s="25" t="s">
        <v>437</v>
      </c>
      <c r="G63" s="28" t="s">
        <v>20</v>
      </c>
      <c r="H63" s="25" t="s">
        <v>138</v>
      </c>
      <c r="I63" s="26" t="n">
        <v>4</v>
      </c>
      <c r="J63" s="25"/>
      <c r="K63" s="25"/>
      <c r="L63" s="25"/>
      <c r="M63" s="26"/>
      <c r="N63" s="26"/>
      <c r="O63" s="25"/>
      <c r="P63" s="25"/>
      <c r="Q63" s="25"/>
      <c r="R63" s="25"/>
    </row>
    <row r="64" customFormat="false" ht="43.25" hidden="false" customHeight="false" outlineLevel="0" collapsed="false">
      <c r="A64" s="19" t="s">
        <v>438</v>
      </c>
      <c r="B64" s="20" t="s">
        <v>439</v>
      </c>
      <c r="C64" s="20" t="s">
        <v>72</v>
      </c>
      <c r="D64" s="20" t="s">
        <v>102</v>
      </c>
      <c r="E64" s="20" t="s">
        <v>440</v>
      </c>
      <c r="F64" s="20" t="s">
        <v>441</v>
      </c>
      <c r="G64" s="28" t="s">
        <v>20</v>
      </c>
      <c r="H64" s="20" t="s">
        <v>138</v>
      </c>
      <c r="I64" s="22" t="n">
        <v>4</v>
      </c>
      <c r="J64" s="20"/>
      <c r="K64" s="20"/>
      <c r="L64" s="20"/>
      <c r="M64" s="22"/>
      <c r="N64" s="22"/>
      <c r="O64" s="20"/>
      <c r="P64" s="20"/>
      <c r="Q64" s="20"/>
      <c r="R64" s="20"/>
    </row>
    <row r="65" customFormat="false" ht="32.8" hidden="false" customHeight="false" outlineLevel="0" collapsed="false">
      <c r="A65" s="24" t="s">
        <v>442</v>
      </c>
      <c r="B65" s="25" t="s">
        <v>443</v>
      </c>
      <c r="C65" s="25" t="s">
        <v>72</v>
      </c>
      <c r="D65" s="25" t="s">
        <v>102</v>
      </c>
      <c r="E65" s="25" t="s">
        <v>444</v>
      </c>
      <c r="F65" s="25" t="s">
        <v>445</v>
      </c>
      <c r="G65" s="28" t="s">
        <v>20</v>
      </c>
      <c r="H65" s="25" t="s">
        <v>138</v>
      </c>
      <c r="I65" s="26" t="n">
        <v>3</v>
      </c>
      <c r="J65" s="25"/>
      <c r="K65" s="25"/>
      <c r="L65" s="25"/>
      <c r="M65" s="26"/>
      <c r="N65" s="26"/>
      <c r="O65" s="25"/>
      <c r="P65" s="25"/>
      <c r="Q65" s="25"/>
      <c r="R65" s="25"/>
    </row>
    <row r="66" customFormat="false" ht="32.8" hidden="false" customHeight="false" outlineLevel="0" collapsed="false">
      <c r="A66" s="19" t="s">
        <v>446</v>
      </c>
      <c r="B66" s="20" t="s">
        <v>447</v>
      </c>
      <c r="C66" s="20" t="s">
        <v>72</v>
      </c>
      <c r="D66" s="20" t="s">
        <v>102</v>
      </c>
      <c r="E66" s="20" t="s">
        <v>448</v>
      </c>
      <c r="F66" s="20" t="s">
        <v>449</v>
      </c>
      <c r="G66" s="28" t="s">
        <v>20</v>
      </c>
      <c r="H66" s="20" t="s">
        <v>138</v>
      </c>
      <c r="I66" s="22" t="n">
        <v>3</v>
      </c>
      <c r="J66" s="20"/>
      <c r="K66" s="20"/>
      <c r="L66" s="20"/>
      <c r="M66" s="22"/>
      <c r="N66" s="22"/>
      <c r="O66" s="20"/>
      <c r="P66" s="20"/>
      <c r="Q66" s="20"/>
      <c r="R66" s="20"/>
    </row>
    <row r="67" customFormat="false" ht="32.8" hidden="false" customHeight="false" outlineLevel="0" collapsed="false">
      <c r="A67" s="24" t="s">
        <v>450</v>
      </c>
      <c r="B67" s="25" t="s">
        <v>451</v>
      </c>
      <c r="C67" s="25" t="s">
        <v>72</v>
      </c>
      <c r="D67" s="25" t="s">
        <v>102</v>
      </c>
      <c r="E67" s="25" t="s">
        <v>452</v>
      </c>
      <c r="F67" s="25" t="s">
        <v>453</v>
      </c>
      <c r="G67" s="28" t="s">
        <v>20</v>
      </c>
      <c r="H67" s="25" t="s">
        <v>138</v>
      </c>
      <c r="I67" s="26" t="n">
        <v>4</v>
      </c>
      <c r="J67" s="25"/>
      <c r="K67" s="25"/>
      <c r="L67" s="25"/>
      <c r="M67" s="26"/>
      <c r="N67" s="26"/>
      <c r="O67" s="25"/>
      <c r="P67" s="25"/>
      <c r="Q67" s="25"/>
      <c r="R67" s="25"/>
    </row>
    <row r="68" customFormat="false" ht="32.8" hidden="false" customHeight="false" outlineLevel="0" collapsed="false">
      <c r="A68" s="19" t="s">
        <v>454</v>
      </c>
      <c r="B68" s="20" t="s">
        <v>455</v>
      </c>
      <c r="C68" s="20" t="s">
        <v>72</v>
      </c>
      <c r="D68" s="20" t="s">
        <v>102</v>
      </c>
      <c r="E68" s="20" t="s">
        <v>456</v>
      </c>
      <c r="F68" s="20" t="s">
        <v>457</v>
      </c>
      <c r="G68" s="21" t="s">
        <v>22</v>
      </c>
      <c r="H68" s="20"/>
      <c r="I68" s="22" t="n">
        <v>2</v>
      </c>
      <c r="J68" s="20" t="s">
        <v>458</v>
      </c>
      <c r="K68" s="33" t="s">
        <v>50</v>
      </c>
      <c r="L68" s="20" t="s">
        <v>459</v>
      </c>
      <c r="M68" s="22" t="n">
        <v>8</v>
      </c>
      <c r="N68" s="22" t="s">
        <v>107</v>
      </c>
      <c r="O68" s="20" t="s">
        <v>107</v>
      </c>
      <c r="P68" s="20" t="s">
        <v>244</v>
      </c>
      <c r="Q68" s="20" t="s">
        <v>425</v>
      </c>
      <c r="R68" s="20"/>
    </row>
    <row r="69" customFormat="false" ht="32.8" hidden="false" customHeight="false" outlineLevel="0" collapsed="false">
      <c r="A69" s="24" t="s">
        <v>460</v>
      </c>
      <c r="B69" s="25" t="s">
        <v>461</v>
      </c>
      <c r="C69" s="25" t="s">
        <v>72</v>
      </c>
      <c r="D69" s="25" t="s">
        <v>102</v>
      </c>
      <c r="E69" s="25" t="s">
        <v>462</v>
      </c>
      <c r="F69" s="25" t="s">
        <v>463</v>
      </c>
      <c r="G69" s="28" t="s">
        <v>20</v>
      </c>
      <c r="H69" s="25" t="s">
        <v>138</v>
      </c>
      <c r="I69" s="26" t="n">
        <v>3</v>
      </c>
      <c r="J69" s="25"/>
      <c r="K69" s="25"/>
      <c r="L69" s="25"/>
      <c r="M69" s="26"/>
      <c r="N69" s="26"/>
      <c r="O69" s="25"/>
      <c r="P69" s="25"/>
      <c r="Q69" s="25"/>
      <c r="R69" s="25"/>
    </row>
    <row r="70" customFormat="false" ht="32.8" hidden="false" customHeight="false" outlineLevel="0" collapsed="false">
      <c r="A70" s="19" t="s">
        <v>464</v>
      </c>
      <c r="B70" s="20" t="s">
        <v>465</v>
      </c>
      <c r="C70" s="20" t="s">
        <v>72</v>
      </c>
      <c r="D70" s="20" t="s">
        <v>102</v>
      </c>
      <c r="E70" s="20" t="s">
        <v>466</v>
      </c>
      <c r="F70" s="20" t="s">
        <v>467</v>
      </c>
      <c r="G70" s="28" t="s">
        <v>20</v>
      </c>
      <c r="H70" s="20" t="s">
        <v>138</v>
      </c>
      <c r="I70" s="22" t="n">
        <v>4</v>
      </c>
      <c r="J70" s="20"/>
      <c r="K70" s="20"/>
      <c r="L70" s="20"/>
      <c r="M70" s="22"/>
      <c r="N70" s="22"/>
      <c r="O70" s="20"/>
      <c r="P70" s="20"/>
      <c r="Q70" s="20"/>
      <c r="R70" s="20"/>
    </row>
    <row r="71" customFormat="false" ht="43.25" hidden="false" customHeight="false" outlineLevel="0" collapsed="false">
      <c r="A71" s="24" t="s">
        <v>468</v>
      </c>
      <c r="B71" s="25" t="s">
        <v>469</v>
      </c>
      <c r="C71" s="25" t="s">
        <v>72</v>
      </c>
      <c r="D71" s="25" t="s">
        <v>102</v>
      </c>
      <c r="E71" s="25" t="s">
        <v>470</v>
      </c>
      <c r="F71" s="25" t="s">
        <v>471</v>
      </c>
      <c r="G71" s="21" t="s">
        <v>22</v>
      </c>
      <c r="H71" s="25" t="s">
        <v>472</v>
      </c>
      <c r="I71" s="26" t="n">
        <v>2</v>
      </c>
      <c r="J71" s="25" t="s">
        <v>473</v>
      </c>
      <c r="K71" s="27" t="s">
        <v>46</v>
      </c>
      <c r="L71" s="25" t="s">
        <v>474</v>
      </c>
      <c r="M71" s="26" t="n">
        <v>60</v>
      </c>
      <c r="N71" s="26" t="s">
        <v>107</v>
      </c>
      <c r="O71" s="25" t="s">
        <v>107</v>
      </c>
      <c r="P71" s="25" t="s">
        <v>244</v>
      </c>
      <c r="Q71" s="25" t="s">
        <v>119</v>
      </c>
      <c r="R71" s="25" t="s">
        <v>475</v>
      </c>
    </row>
    <row r="72" customFormat="false" ht="43.25" hidden="false" customHeight="false" outlineLevel="0" collapsed="false">
      <c r="A72" s="19" t="s">
        <v>476</v>
      </c>
      <c r="B72" s="20" t="s">
        <v>477</v>
      </c>
      <c r="C72" s="20" t="s">
        <v>72</v>
      </c>
      <c r="D72" s="20" t="s">
        <v>102</v>
      </c>
      <c r="E72" s="20" t="s">
        <v>478</v>
      </c>
      <c r="F72" s="20" t="s">
        <v>479</v>
      </c>
      <c r="G72" s="21" t="s">
        <v>22</v>
      </c>
      <c r="H72" s="20"/>
      <c r="I72" s="22" t="n">
        <v>2</v>
      </c>
      <c r="J72" s="20" t="s">
        <v>480</v>
      </c>
      <c r="K72" s="27" t="s">
        <v>46</v>
      </c>
      <c r="L72" s="20" t="s">
        <v>481</v>
      </c>
      <c r="M72" s="22" t="n">
        <v>20</v>
      </c>
      <c r="N72" s="22" t="s">
        <v>107</v>
      </c>
      <c r="O72" s="20" t="s">
        <v>289</v>
      </c>
      <c r="P72" s="20" t="s">
        <v>168</v>
      </c>
      <c r="Q72" s="20" t="s">
        <v>119</v>
      </c>
      <c r="R72" s="20" t="s">
        <v>296</v>
      </c>
    </row>
    <row r="73" customFormat="false" ht="43.25" hidden="false" customHeight="false" outlineLevel="0" collapsed="false">
      <c r="A73" s="24" t="s">
        <v>482</v>
      </c>
      <c r="B73" s="25" t="s">
        <v>483</v>
      </c>
      <c r="C73" s="25" t="s">
        <v>72</v>
      </c>
      <c r="D73" s="25" t="s">
        <v>102</v>
      </c>
      <c r="E73" s="25" t="s">
        <v>484</v>
      </c>
      <c r="F73" s="25" t="s">
        <v>485</v>
      </c>
      <c r="G73" s="21" t="s">
        <v>22</v>
      </c>
      <c r="H73" s="25" t="s">
        <v>486</v>
      </c>
      <c r="I73" s="26" t="n">
        <v>2</v>
      </c>
      <c r="J73" s="25" t="s">
        <v>487</v>
      </c>
      <c r="K73" s="27" t="s">
        <v>46</v>
      </c>
      <c r="L73" s="25" t="s">
        <v>488</v>
      </c>
      <c r="M73" s="26" t="n">
        <v>15</v>
      </c>
      <c r="N73" s="26" t="s">
        <v>107</v>
      </c>
      <c r="O73" s="25" t="s">
        <v>489</v>
      </c>
      <c r="P73" s="25" t="s">
        <v>490</v>
      </c>
      <c r="Q73" s="25" t="s">
        <v>119</v>
      </c>
      <c r="R73" s="25" t="s">
        <v>491</v>
      </c>
    </row>
    <row r="74" customFormat="false" ht="32.8" hidden="false" customHeight="false" outlineLevel="0" collapsed="false">
      <c r="A74" s="19" t="s">
        <v>492</v>
      </c>
      <c r="B74" s="20" t="s">
        <v>493</v>
      </c>
      <c r="C74" s="20" t="s">
        <v>72</v>
      </c>
      <c r="D74" s="20" t="s">
        <v>102</v>
      </c>
      <c r="E74" s="20" t="s">
        <v>494</v>
      </c>
      <c r="F74" s="20" t="s">
        <v>495</v>
      </c>
      <c r="G74" s="21" t="s">
        <v>22</v>
      </c>
      <c r="H74" s="20"/>
      <c r="I74" s="22" t="n">
        <v>2</v>
      </c>
      <c r="J74" s="20" t="s">
        <v>496</v>
      </c>
      <c r="K74" s="27" t="s">
        <v>46</v>
      </c>
      <c r="L74" s="20" t="s">
        <v>497</v>
      </c>
      <c r="M74" s="22" t="n">
        <v>25</v>
      </c>
      <c r="N74" s="32" t="n">
        <v>40000</v>
      </c>
      <c r="O74" s="20" t="s">
        <v>238</v>
      </c>
      <c r="P74" s="20" t="s">
        <v>145</v>
      </c>
      <c r="Q74" s="20" t="s">
        <v>119</v>
      </c>
      <c r="R74" s="20" t="s">
        <v>169</v>
      </c>
    </row>
    <row r="75" customFormat="false" ht="32.8" hidden="false" customHeight="false" outlineLevel="0" collapsed="false">
      <c r="A75" s="24" t="s">
        <v>498</v>
      </c>
      <c r="B75" s="25" t="s">
        <v>499</v>
      </c>
      <c r="C75" s="25" t="s">
        <v>72</v>
      </c>
      <c r="D75" s="25" t="s">
        <v>102</v>
      </c>
      <c r="E75" s="25" t="s">
        <v>500</v>
      </c>
      <c r="F75" s="25" t="s">
        <v>501</v>
      </c>
      <c r="G75" s="28" t="s">
        <v>20</v>
      </c>
      <c r="H75" s="25" t="s">
        <v>138</v>
      </c>
      <c r="I75" s="26" t="n">
        <v>3</v>
      </c>
      <c r="J75" s="25"/>
      <c r="K75" s="25"/>
      <c r="L75" s="25"/>
      <c r="M75" s="26"/>
      <c r="N75" s="26"/>
      <c r="O75" s="25"/>
      <c r="P75" s="25"/>
      <c r="Q75" s="25"/>
      <c r="R75" s="25"/>
    </row>
    <row r="76" customFormat="false" ht="43.25" hidden="false" customHeight="false" outlineLevel="0" collapsed="false">
      <c r="A76" s="19" t="s">
        <v>278</v>
      </c>
      <c r="B76" s="20" t="s">
        <v>502</v>
      </c>
      <c r="C76" s="20" t="s">
        <v>72</v>
      </c>
      <c r="D76" s="20" t="s">
        <v>102</v>
      </c>
      <c r="E76" s="20" t="s">
        <v>503</v>
      </c>
      <c r="F76" s="20" t="s">
        <v>504</v>
      </c>
      <c r="G76" s="21" t="s">
        <v>22</v>
      </c>
      <c r="H76" s="20"/>
      <c r="I76" s="22" t="n">
        <v>2</v>
      </c>
      <c r="J76" s="20" t="s">
        <v>505</v>
      </c>
      <c r="K76" s="27" t="s">
        <v>46</v>
      </c>
      <c r="L76" s="20" t="s">
        <v>506</v>
      </c>
      <c r="M76" s="22" t="n">
        <v>20</v>
      </c>
      <c r="N76" s="22" t="s">
        <v>107</v>
      </c>
      <c r="O76" s="20" t="s">
        <v>107</v>
      </c>
      <c r="P76" s="20" t="s">
        <v>244</v>
      </c>
      <c r="Q76" s="20" t="s">
        <v>119</v>
      </c>
      <c r="R76" s="20" t="s">
        <v>272</v>
      </c>
    </row>
    <row r="77" customFormat="false" ht="43.25" hidden="false" customHeight="false" outlineLevel="0" collapsed="false">
      <c r="A77" s="24" t="s">
        <v>507</v>
      </c>
      <c r="B77" s="25" t="s">
        <v>508</v>
      </c>
      <c r="C77" s="25" t="s">
        <v>72</v>
      </c>
      <c r="D77" s="25" t="s">
        <v>102</v>
      </c>
      <c r="E77" s="25" t="s">
        <v>509</v>
      </c>
      <c r="F77" s="25" t="s">
        <v>510</v>
      </c>
      <c r="G77" s="21" t="s">
        <v>22</v>
      </c>
      <c r="H77" s="25" t="s">
        <v>511</v>
      </c>
      <c r="I77" s="26" t="n">
        <v>2</v>
      </c>
      <c r="J77" s="25" t="s">
        <v>512</v>
      </c>
      <c r="K77" s="27" t="s">
        <v>46</v>
      </c>
      <c r="L77" s="25" t="s">
        <v>513</v>
      </c>
      <c r="M77" s="26" t="n">
        <v>25</v>
      </c>
      <c r="N77" s="26" t="s">
        <v>107</v>
      </c>
      <c r="O77" s="25" t="s">
        <v>107</v>
      </c>
      <c r="P77" s="25" t="s">
        <v>145</v>
      </c>
      <c r="Q77" s="25" t="s">
        <v>119</v>
      </c>
      <c r="R77" s="25" t="s">
        <v>514</v>
      </c>
    </row>
    <row r="78" customFormat="false" ht="32.8" hidden="false" customHeight="false" outlineLevel="0" collapsed="false">
      <c r="A78" s="19" t="s">
        <v>515</v>
      </c>
      <c r="B78" s="20" t="s">
        <v>516</v>
      </c>
      <c r="C78" s="20" t="s">
        <v>72</v>
      </c>
      <c r="D78" s="20" t="s">
        <v>102</v>
      </c>
      <c r="E78" s="20" t="s">
        <v>517</v>
      </c>
      <c r="F78" s="20" t="s">
        <v>518</v>
      </c>
      <c r="G78" s="21" t="s">
        <v>22</v>
      </c>
      <c r="H78" s="20"/>
      <c r="I78" s="22" t="n">
        <v>2</v>
      </c>
      <c r="J78" s="20" t="s">
        <v>519</v>
      </c>
      <c r="K78" s="27" t="s">
        <v>46</v>
      </c>
      <c r="L78" s="20" t="s">
        <v>520</v>
      </c>
      <c r="M78" s="22" t="n">
        <v>35</v>
      </c>
      <c r="N78" s="22" t="s">
        <v>107</v>
      </c>
      <c r="O78" s="20" t="s">
        <v>507</v>
      </c>
      <c r="P78" s="20" t="s">
        <v>145</v>
      </c>
      <c r="Q78" s="20" t="s">
        <v>119</v>
      </c>
      <c r="R78" s="20" t="s">
        <v>514</v>
      </c>
    </row>
    <row r="79" customFormat="false" ht="32.8" hidden="false" customHeight="false" outlineLevel="0" collapsed="false">
      <c r="A79" s="24" t="s">
        <v>521</v>
      </c>
      <c r="B79" s="25" t="s">
        <v>522</v>
      </c>
      <c r="C79" s="25" t="s">
        <v>72</v>
      </c>
      <c r="D79" s="25" t="s">
        <v>102</v>
      </c>
      <c r="E79" s="25" t="s">
        <v>523</v>
      </c>
      <c r="F79" s="25" t="s">
        <v>524</v>
      </c>
      <c r="G79" s="28" t="s">
        <v>20</v>
      </c>
      <c r="H79" s="25" t="s">
        <v>138</v>
      </c>
      <c r="I79" s="26" t="n">
        <v>3</v>
      </c>
      <c r="J79" s="25"/>
      <c r="K79" s="25"/>
      <c r="L79" s="25"/>
      <c r="M79" s="26"/>
      <c r="N79" s="26"/>
      <c r="O79" s="25"/>
      <c r="P79" s="25"/>
      <c r="Q79" s="25"/>
      <c r="R79" s="25"/>
    </row>
    <row r="80" customFormat="false" ht="32.8" hidden="false" customHeight="false" outlineLevel="0" collapsed="false">
      <c r="A80" s="19" t="s">
        <v>525</v>
      </c>
      <c r="B80" s="20" t="s">
        <v>526</v>
      </c>
      <c r="C80" s="20" t="s">
        <v>72</v>
      </c>
      <c r="D80" s="20" t="s">
        <v>102</v>
      </c>
      <c r="E80" s="20" t="s">
        <v>527</v>
      </c>
      <c r="F80" s="20" t="s">
        <v>528</v>
      </c>
      <c r="G80" s="28" t="s">
        <v>20</v>
      </c>
      <c r="H80" s="20" t="s">
        <v>138</v>
      </c>
      <c r="I80" s="22" t="n">
        <v>3</v>
      </c>
      <c r="J80" s="20"/>
      <c r="K80" s="20"/>
      <c r="L80" s="20"/>
      <c r="M80" s="22"/>
      <c r="N80" s="22"/>
      <c r="O80" s="20"/>
      <c r="P80" s="20"/>
      <c r="Q80" s="20"/>
      <c r="R80" s="20"/>
    </row>
    <row r="81" customFormat="false" ht="32.8" hidden="false" customHeight="false" outlineLevel="0" collapsed="false">
      <c r="A81" s="24" t="s">
        <v>529</v>
      </c>
      <c r="B81" s="25" t="s">
        <v>530</v>
      </c>
      <c r="C81" s="25" t="s">
        <v>72</v>
      </c>
      <c r="D81" s="25" t="s">
        <v>102</v>
      </c>
      <c r="E81" s="25" t="s">
        <v>531</v>
      </c>
      <c r="F81" s="25" t="s">
        <v>532</v>
      </c>
      <c r="G81" s="21" t="s">
        <v>22</v>
      </c>
      <c r="H81" s="25"/>
      <c r="I81" s="26" t="n">
        <v>2</v>
      </c>
      <c r="J81" s="25" t="s">
        <v>533</v>
      </c>
      <c r="K81" s="29" t="s">
        <v>48</v>
      </c>
      <c r="L81" s="25" t="s">
        <v>534</v>
      </c>
      <c r="M81" s="26" t="n">
        <v>10</v>
      </c>
      <c r="N81" s="26" t="s">
        <v>107</v>
      </c>
      <c r="O81" s="25" t="s">
        <v>468</v>
      </c>
      <c r="P81" s="25" t="s">
        <v>244</v>
      </c>
      <c r="Q81" s="25" t="s">
        <v>146</v>
      </c>
      <c r="R81" s="25" t="s">
        <v>475</v>
      </c>
    </row>
    <row r="82" customFormat="false" ht="32.8" hidden="false" customHeight="false" outlineLevel="0" collapsed="false">
      <c r="A82" s="19" t="s">
        <v>535</v>
      </c>
      <c r="B82" s="20" t="s">
        <v>536</v>
      </c>
      <c r="C82" s="20" t="s">
        <v>72</v>
      </c>
      <c r="D82" s="20" t="s">
        <v>102</v>
      </c>
      <c r="E82" s="20" t="s">
        <v>537</v>
      </c>
      <c r="F82" s="20" t="s">
        <v>538</v>
      </c>
      <c r="G82" s="28" t="s">
        <v>20</v>
      </c>
      <c r="H82" s="20" t="s">
        <v>138</v>
      </c>
      <c r="I82" s="22" t="n">
        <v>3</v>
      </c>
      <c r="J82" s="20"/>
      <c r="K82" s="20"/>
      <c r="L82" s="20"/>
      <c r="M82" s="22"/>
      <c r="N82" s="22"/>
      <c r="O82" s="20"/>
      <c r="P82" s="20"/>
      <c r="Q82" s="20"/>
      <c r="R82" s="20"/>
    </row>
    <row r="83" customFormat="false" ht="32.8" hidden="false" customHeight="false" outlineLevel="0" collapsed="false">
      <c r="A83" s="24" t="s">
        <v>539</v>
      </c>
      <c r="B83" s="25" t="s">
        <v>540</v>
      </c>
      <c r="C83" s="25" t="s">
        <v>72</v>
      </c>
      <c r="D83" s="25" t="s">
        <v>102</v>
      </c>
      <c r="E83" s="25" t="s">
        <v>541</v>
      </c>
      <c r="F83" s="25" t="s">
        <v>542</v>
      </c>
      <c r="G83" s="28" t="s">
        <v>20</v>
      </c>
      <c r="H83" s="25" t="s">
        <v>138</v>
      </c>
      <c r="I83" s="26" t="n">
        <v>3</v>
      </c>
      <c r="J83" s="25"/>
      <c r="K83" s="25"/>
      <c r="L83" s="25"/>
      <c r="M83" s="26"/>
      <c r="N83" s="26"/>
      <c r="O83" s="25"/>
      <c r="P83" s="25"/>
      <c r="Q83" s="25"/>
      <c r="R83" s="25"/>
    </row>
    <row r="84" customFormat="false" ht="43.25" hidden="false" customHeight="false" outlineLevel="0" collapsed="false">
      <c r="A84" s="19" t="s">
        <v>543</v>
      </c>
      <c r="B84" s="20" t="s">
        <v>544</v>
      </c>
      <c r="C84" s="20" t="s">
        <v>72</v>
      </c>
      <c r="D84" s="20" t="s">
        <v>102</v>
      </c>
      <c r="E84" s="20" t="s">
        <v>545</v>
      </c>
      <c r="F84" s="20" t="s">
        <v>546</v>
      </c>
      <c r="G84" s="28" t="s">
        <v>20</v>
      </c>
      <c r="H84" s="20" t="s">
        <v>138</v>
      </c>
      <c r="I84" s="22" t="n">
        <v>4</v>
      </c>
      <c r="J84" s="20"/>
      <c r="K84" s="20"/>
      <c r="L84" s="20"/>
      <c r="M84" s="22"/>
      <c r="N84" s="22"/>
      <c r="O84" s="20"/>
      <c r="P84" s="20"/>
      <c r="Q84" s="20"/>
      <c r="R84" s="20"/>
    </row>
    <row r="85" customFormat="false" ht="32.8" hidden="false" customHeight="false" outlineLevel="0" collapsed="false">
      <c r="A85" s="24" t="s">
        <v>547</v>
      </c>
      <c r="B85" s="25" t="s">
        <v>548</v>
      </c>
      <c r="C85" s="25" t="s">
        <v>72</v>
      </c>
      <c r="D85" s="25" t="s">
        <v>102</v>
      </c>
      <c r="E85" s="25" t="s">
        <v>549</v>
      </c>
      <c r="F85" s="25" t="s">
        <v>550</v>
      </c>
      <c r="G85" s="21" t="s">
        <v>22</v>
      </c>
      <c r="H85" s="25"/>
      <c r="I85" s="26" t="n">
        <v>2</v>
      </c>
      <c r="J85" s="25" t="s">
        <v>551</v>
      </c>
      <c r="K85" s="29" t="s">
        <v>48</v>
      </c>
      <c r="L85" s="25" t="s">
        <v>552</v>
      </c>
      <c r="M85" s="26" t="n">
        <v>10</v>
      </c>
      <c r="N85" s="26" t="s">
        <v>107</v>
      </c>
      <c r="O85" s="25" t="s">
        <v>238</v>
      </c>
      <c r="P85" s="25" t="s">
        <v>145</v>
      </c>
      <c r="Q85" s="25" t="s">
        <v>146</v>
      </c>
      <c r="R85" s="25" t="s">
        <v>169</v>
      </c>
    </row>
    <row r="86" customFormat="false" ht="43.25" hidden="false" customHeight="false" outlineLevel="0" collapsed="false">
      <c r="A86" s="19" t="s">
        <v>553</v>
      </c>
      <c r="B86" s="20" t="s">
        <v>554</v>
      </c>
      <c r="C86" s="20" t="s">
        <v>72</v>
      </c>
      <c r="D86" s="20" t="s">
        <v>102</v>
      </c>
      <c r="E86" s="20" t="s">
        <v>555</v>
      </c>
      <c r="F86" s="20" t="s">
        <v>556</v>
      </c>
      <c r="G86" s="21" t="s">
        <v>22</v>
      </c>
      <c r="H86" s="20" t="s">
        <v>557</v>
      </c>
      <c r="I86" s="22" t="n">
        <v>2</v>
      </c>
      <c r="J86" s="20" t="s">
        <v>558</v>
      </c>
      <c r="K86" s="27" t="s">
        <v>46</v>
      </c>
      <c r="L86" s="20" t="s">
        <v>559</v>
      </c>
      <c r="M86" s="22" t="n">
        <v>25</v>
      </c>
      <c r="N86" s="22" t="s">
        <v>107</v>
      </c>
      <c r="O86" s="20" t="s">
        <v>126</v>
      </c>
      <c r="P86" s="20" t="s">
        <v>244</v>
      </c>
      <c r="Q86" s="20" t="s">
        <v>119</v>
      </c>
      <c r="R86" s="20" t="s">
        <v>560</v>
      </c>
    </row>
    <row r="87" customFormat="false" ht="32.8" hidden="false" customHeight="false" outlineLevel="0" collapsed="false">
      <c r="A87" s="24" t="s">
        <v>561</v>
      </c>
      <c r="B87" s="25" t="s">
        <v>562</v>
      </c>
      <c r="C87" s="25" t="s">
        <v>72</v>
      </c>
      <c r="D87" s="25" t="s">
        <v>102</v>
      </c>
      <c r="E87" s="25" t="s">
        <v>563</v>
      </c>
      <c r="F87" s="25" t="s">
        <v>564</v>
      </c>
      <c r="G87" s="21" t="s">
        <v>22</v>
      </c>
      <c r="H87" s="25" t="s">
        <v>565</v>
      </c>
      <c r="I87" s="26" t="n">
        <v>2</v>
      </c>
      <c r="J87" s="25" t="s">
        <v>566</v>
      </c>
      <c r="K87" s="27" t="s">
        <v>46</v>
      </c>
      <c r="L87" s="25" t="s">
        <v>567</v>
      </c>
      <c r="M87" s="26" t="n">
        <v>25</v>
      </c>
      <c r="N87" s="30" t="n">
        <v>20000</v>
      </c>
      <c r="O87" s="25" t="s">
        <v>568</v>
      </c>
      <c r="P87" s="25" t="s">
        <v>161</v>
      </c>
      <c r="Q87" s="25" t="s">
        <v>119</v>
      </c>
      <c r="R87" s="25" t="s">
        <v>491</v>
      </c>
    </row>
    <row r="88" customFormat="false" ht="32.8" hidden="false" customHeight="false" outlineLevel="0" collapsed="false">
      <c r="A88" s="19" t="s">
        <v>569</v>
      </c>
      <c r="B88" s="20" t="s">
        <v>570</v>
      </c>
      <c r="C88" s="20" t="s">
        <v>72</v>
      </c>
      <c r="D88" s="20" t="s">
        <v>102</v>
      </c>
      <c r="E88" s="20" t="s">
        <v>571</v>
      </c>
      <c r="F88" s="20" t="s">
        <v>572</v>
      </c>
      <c r="G88" s="21" t="s">
        <v>22</v>
      </c>
      <c r="H88" s="20"/>
      <c r="I88" s="22" t="n">
        <v>2</v>
      </c>
      <c r="J88" s="20" t="s">
        <v>573</v>
      </c>
      <c r="K88" s="29" t="s">
        <v>48</v>
      </c>
      <c r="L88" s="20" t="s">
        <v>574</v>
      </c>
      <c r="M88" s="22" t="n">
        <v>10</v>
      </c>
      <c r="N88" s="22" t="s">
        <v>107</v>
      </c>
      <c r="O88" s="20" t="s">
        <v>561</v>
      </c>
      <c r="P88" s="20" t="s">
        <v>490</v>
      </c>
      <c r="Q88" s="20" t="s">
        <v>146</v>
      </c>
      <c r="R88" s="20" t="s">
        <v>491</v>
      </c>
    </row>
    <row r="89" customFormat="false" ht="32.8" hidden="false" customHeight="false" outlineLevel="0" collapsed="false">
      <c r="A89" s="24" t="s">
        <v>568</v>
      </c>
      <c r="B89" s="25" t="s">
        <v>575</v>
      </c>
      <c r="C89" s="25" t="s">
        <v>72</v>
      </c>
      <c r="D89" s="25" t="s">
        <v>102</v>
      </c>
      <c r="E89" s="25" t="s">
        <v>576</v>
      </c>
      <c r="F89" s="25" t="s">
        <v>577</v>
      </c>
      <c r="G89" s="21" t="s">
        <v>22</v>
      </c>
      <c r="H89" s="25" t="s">
        <v>578</v>
      </c>
      <c r="I89" s="26" t="n">
        <v>2</v>
      </c>
      <c r="J89" s="25" t="s">
        <v>579</v>
      </c>
      <c r="K89" s="27" t="s">
        <v>46</v>
      </c>
      <c r="L89" s="25" t="s">
        <v>580</v>
      </c>
      <c r="M89" s="26" t="n">
        <v>15</v>
      </c>
      <c r="N89" s="26" t="s">
        <v>107</v>
      </c>
      <c r="O89" s="25" t="s">
        <v>107</v>
      </c>
      <c r="P89" s="25" t="s">
        <v>161</v>
      </c>
      <c r="Q89" s="25" t="s">
        <v>119</v>
      </c>
      <c r="R89" s="25" t="s">
        <v>491</v>
      </c>
    </row>
    <row r="90" customFormat="false" ht="32.8" hidden="false" customHeight="false" outlineLevel="0" collapsed="false">
      <c r="A90" s="19" t="s">
        <v>581</v>
      </c>
      <c r="B90" s="20" t="s">
        <v>582</v>
      </c>
      <c r="C90" s="20" t="s">
        <v>72</v>
      </c>
      <c r="D90" s="20" t="s">
        <v>102</v>
      </c>
      <c r="E90" s="20" t="s">
        <v>583</v>
      </c>
      <c r="F90" s="20" t="s">
        <v>584</v>
      </c>
      <c r="G90" s="28" t="s">
        <v>20</v>
      </c>
      <c r="H90" s="20" t="s">
        <v>138</v>
      </c>
      <c r="I90" s="22" t="n">
        <v>3</v>
      </c>
      <c r="J90" s="20"/>
      <c r="K90" s="20"/>
      <c r="L90" s="20"/>
      <c r="M90" s="22"/>
      <c r="N90" s="22"/>
      <c r="O90" s="20"/>
      <c r="P90" s="20"/>
      <c r="Q90" s="20"/>
      <c r="R90" s="20"/>
    </row>
    <row r="91" customFormat="false" ht="32.8" hidden="false" customHeight="false" outlineLevel="0" collapsed="false">
      <c r="A91" s="24" t="s">
        <v>585</v>
      </c>
      <c r="B91" s="25" t="s">
        <v>586</v>
      </c>
      <c r="C91" s="25" t="s">
        <v>72</v>
      </c>
      <c r="D91" s="25" t="s">
        <v>102</v>
      </c>
      <c r="E91" s="25" t="s">
        <v>587</v>
      </c>
      <c r="F91" s="25" t="s">
        <v>588</v>
      </c>
      <c r="G91" s="28" t="s">
        <v>20</v>
      </c>
      <c r="H91" s="25" t="s">
        <v>138</v>
      </c>
      <c r="I91" s="26" t="n">
        <v>3</v>
      </c>
      <c r="J91" s="25"/>
      <c r="K91" s="25"/>
      <c r="L91" s="25"/>
      <c r="M91" s="26"/>
      <c r="N91" s="26"/>
      <c r="O91" s="25"/>
      <c r="P91" s="25"/>
      <c r="Q91" s="25"/>
      <c r="R91" s="25"/>
    </row>
    <row r="92" customFormat="false" ht="53.7" hidden="false" customHeight="false" outlineLevel="0" collapsed="false">
      <c r="A92" s="19" t="s">
        <v>589</v>
      </c>
      <c r="B92" s="20" t="s">
        <v>590</v>
      </c>
      <c r="C92" s="20" t="s">
        <v>72</v>
      </c>
      <c r="D92" s="20" t="s">
        <v>591</v>
      </c>
      <c r="E92" s="20" t="s">
        <v>592</v>
      </c>
      <c r="F92" s="20" t="s">
        <v>593</v>
      </c>
      <c r="G92" s="34" t="s">
        <v>26</v>
      </c>
      <c r="H92" s="20"/>
      <c r="I92" s="22" t="s">
        <v>594</v>
      </c>
      <c r="J92" s="20"/>
      <c r="K92" s="20"/>
      <c r="L92" s="20"/>
      <c r="M92" s="22"/>
      <c r="N92" s="22"/>
      <c r="O92" s="20"/>
      <c r="P92" s="20"/>
      <c r="Q92" s="20"/>
      <c r="R92" s="20"/>
    </row>
    <row r="93" customFormat="false" ht="32.8" hidden="false" customHeight="false" outlineLevel="0" collapsed="false">
      <c r="A93" s="24" t="s">
        <v>595</v>
      </c>
      <c r="B93" s="25" t="s">
        <v>596</v>
      </c>
      <c r="C93" s="25" t="s">
        <v>72</v>
      </c>
      <c r="D93" s="25" t="s">
        <v>102</v>
      </c>
      <c r="E93" s="25" t="s">
        <v>597</v>
      </c>
      <c r="F93" s="25" t="s">
        <v>598</v>
      </c>
      <c r="G93" s="28" t="s">
        <v>20</v>
      </c>
      <c r="H93" s="25" t="s">
        <v>138</v>
      </c>
      <c r="I93" s="26" t="n">
        <v>4</v>
      </c>
      <c r="J93" s="25"/>
      <c r="K93" s="25"/>
      <c r="L93" s="25"/>
      <c r="M93" s="26"/>
      <c r="N93" s="26"/>
      <c r="O93" s="25"/>
      <c r="P93" s="25"/>
      <c r="Q93" s="25"/>
      <c r="R93" s="25"/>
    </row>
    <row r="94" customFormat="false" ht="32.8" hidden="false" customHeight="false" outlineLevel="0" collapsed="false">
      <c r="A94" s="19" t="s">
        <v>599</v>
      </c>
      <c r="B94" s="20" t="s">
        <v>600</v>
      </c>
      <c r="C94" s="20" t="s">
        <v>72</v>
      </c>
      <c r="D94" s="20" t="s">
        <v>102</v>
      </c>
      <c r="E94" s="20" t="s">
        <v>601</v>
      </c>
      <c r="F94" s="20" t="s">
        <v>602</v>
      </c>
      <c r="G94" s="21" t="s">
        <v>22</v>
      </c>
      <c r="H94" s="20" t="s">
        <v>603</v>
      </c>
      <c r="I94" s="22" t="n">
        <v>2</v>
      </c>
      <c r="J94" s="20" t="s">
        <v>604</v>
      </c>
      <c r="K94" s="27" t="s">
        <v>46</v>
      </c>
      <c r="L94" s="20" t="s">
        <v>605</v>
      </c>
      <c r="M94" s="22" t="n">
        <v>15</v>
      </c>
      <c r="N94" s="22" t="s">
        <v>107</v>
      </c>
      <c r="O94" s="20" t="s">
        <v>468</v>
      </c>
      <c r="P94" s="20" t="s">
        <v>244</v>
      </c>
      <c r="Q94" s="20" t="s">
        <v>119</v>
      </c>
      <c r="R94" s="20" t="s">
        <v>475</v>
      </c>
    </row>
    <row r="95" customFormat="false" ht="32.8" hidden="false" customHeight="false" outlineLevel="0" collapsed="false">
      <c r="A95" s="24" t="s">
        <v>489</v>
      </c>
      <c r="B95" s="25" t="s">
        <v>606</v>
      </c>
      <c r="C95" s="25" t="s">
        <v>72</v>
      </c>
      <c r="D95" s="25" t="s">
        <v>102</v>
      </c>
      <c r="E95" s="25" t="s">
        <v>607</v>
      </c>
      <c r="F95" s="25" t="s">
        <v>608</v>
      </c>
      <c r="G95" s="21" t="s">
        <v>22</v>
      </c>
      <c r="H95" s="25"/>
      <c r="I95" s="26" t="n">
        <v>2</v>
      </c>
      <c r="J95" s="25" t="s">
        <v>609</v>
      </c>
      <c r="K95" s="27" t="s">
        <v>46</v>
      </c>
      <c r="L95" s="25" t="s">
        <v>610</v>
      </c>
      <c r="M95" s="26" t="n">
        <v>12</v>
      </c>
      <c r="N95" s="26" t="s">
        <v>107</v>
      </c>
      <c r="O95" s="25" t="s">
        <v>482</v>
      </c>
      <c r="P95" s="25" t="s">
        <v>490</v>
      </c>
      <c r="Q95" s="25" t="s">
        <v>119</v>
      </c>
      <c r="R95" s="25" t="s">
        <v>491</v>
      </c>
    </row>
    <row r="96" customFormat="false" ht="43.25" hidden="false" customHeight="false" outlineLevel="0" collapsed="false">
      <c r="A96" s="19" t="s">
        <v>611</v>
      </c>
      <c r="B96" s="20" t="s">
        <v>612</v>
      </c>
      <c r="C96" s="20" t="s">
        <v>72</v>
      </c>
      <c r="D96" s="20" t="s">
        <v>102</v>
      </c>
      <c r="E96" s="20" t="s">
        <v>613</v>
      </c>
      <c r="F96" s="20" t="s">
        <v>614</v>
      </c>
      <c r="G96" s="31" t="s">
        <v>24</v>
      </c>
      <c r="H96" s="20" t="s">
        <v>151</v>
      </c>
      <c r="I96" s="22" t="n">
        <v>1</v>
      </c>
      <c r="J96" s="20" t="s">
        <v>615</v>
      </c>
      <c r="K96" s="29" t="s">
        <v>48</v>
      </c>
      <c r="L96" s="20" t="s">
        <v>616</v>
      </c>
      <c r="M96" s="22" t="n">
        <v>6</v>
      </c>
      <c r="N96" s="22" t="s">
        <v>107</v>
      </c>
      <c r="O96" s="20" t="s">
        <v>310</v>
      </c>
      <c r="P96" s="20" t="s">
        <v>311</v>
      </c>
      <c r="Q96" s="20" t="s">
        <v>146</v>
      </c>
      <c r="R96" s="20"/>
    </row>
  </sheetData>
  <autoFilter ref="A3:R96"/>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42"/>
    <col collapsed="false" customWidth="true" hidden="false" outlineLevel="0" max="4" min="4" style="0" width="50"/>
    <col collapsed="false" customWidth="true" hidden="false" outlineLevel="0" max="5" min="5" style="0" width="17"/>
    <col collapsed="false" customWidth="true" hidden="false" outlineLevel="0" max="6" min="6" style="0" width="58"/>
    <col collapsed="false" customWidth="true" hidden="false" outlineLevel="0" max="7" min="7" style="0" width="9"/>
    <col collapsed="false" customWidth="true" hidden="false" outlineLevel="0" max="8" min="8" style="0" width="58"/>
    <col collapsed="false" customWidth="true" hidden="false" outlineLevel="0" max="9" min="9" style="0" width="11"/>
    <col collapsed="false" customWidth="true" hidden="false" outlineLevel="0" max="11" min="10" style="0" width="14"/>
    <col collapsed="false" customWidth="true" hidden="false" outlineLevel="0" max="12" min="12" style="0" width="18"/>
    <col collapsed="false" customWidth="true" hidden="false" outlineLevel="0" max="13" min="13" style="0" width="13"/>
  </cols>
  <sheetData>
    <row r="1" customFormat="false" ht="21.75" hidden="false" customHeight="true" outlineLevel="0" collapsed="false">
      <c r="A1" s="1" t="s">
        <v>617</v>
      </c>
      <c r="B1" s="1"/>
      <c r="C1" s="1"/>
      <c r="D1" s="1"/>
      <c r="E1" s="1"/>
      <c r="F1" s="1"/>
      <c r="G1" s="1"/>
      <c r="H1" s="1"/>
      <c r="I1" s="1"/>
    </row>
    <row r="2" customFormat="false" ht="15" hidden="false" customHeight="false" outlineLevel="0" collapsed="false">
      <c r="A2" s="2" t="s">
        <v>618</v>
      </c>
      <c r="B2" s="2"/>
      <c r="C2" s="2"/>
      <c r="D2" s="2"/>
      <c r="E2" s="2"/>
      <c r="F2" s="2"/>
      <c r="G2" s="2"/>
      <c r="H2" s="2"/>
      <c r="I2" s="2"/>
    </row>
    <row r="3" customFormat="false" ht="30" hidden="false" customHeight="true" outlineLevel="0" collapsed="false">
      <c r="A3" s="7" t="s">
        <v>619</v>
      </c>
      <c r="B3" s="7" t="s">
        <v>620</v>
      </c>
      <c r="C3" s="7" t="s">
        <v>88</v>
      </c>
      <c r="D3" s="7" t="s">
        <v>89</v>
      </c>
      <c r="E3" s="7" t="s">
        <v>57</v>
      </c>
      <c r="F3" s="7" t="s">
        <v>92</v>
      </c>
      <c r="G3" s="7" t="s">
        <v>74</v>
      </c>
      <c r="H3" s="7" t="s">
        <v>93</v>
      </c>
      <c r="I3" s="7" t="s">
        <v>94</v>
      </c>
      <c r="J3" s="7" t="s">
        <v>95</v>
      </c>
      <c r="K3" s="7" t="s">
        <v>96</v>
      </c>
      <c r="L3" s="7" t="s">
        <v>97</v>
      </c>
      <c r="M3" s="7" t="s">
        <v>98</v>
      </c>
    </row>
    <row r="4" customFormat="false" ht="32.8" hidden="false" customHeight="false" outlineLevel="0" collapsed="false">
      <c r="A4" s="19" t="s">
        <v>621</v>
      </c>
      <c r="B4" s="20" t="s">
        <v>622</v>
      </c>
      <c r="C4" s="20" t="s">
        <v>623</v>
      </c>
      <c r="D4" s="20" t="s">
        <v>624</v>
      </c>
      <c r="E4" s="31" t="s">
        <v>24</v>
      </c>
      <c r="F4" s="20" t="s">
        <v>625</v>
      </c>
      <c r="G4" s="23" t="s">
        <v>44</v>
      </c>
      <c r="H4" s="20" t="s">
        <v>626</v>
      </c>
      <c r="I4" s="22" t="n">
        <v>4</v>
      </c>
      <c r="J4" s="22" t="s">
        <v>107</v>
      </c>
      <c r="K4" s="20" t="s">
        <v>107</v>
      </c>
      <c r="L4" s="20" t="s">
        <v>118</v>
      </c>
      <c r="M4" s="20" t="s">
        <v>109</v>
      </c>
    </row>
    <row r="5" customFormat="false" ht="32.8" hidden="false" customHeight="false" outlineLevel="0" collapsed="false">
      <c r="A5" s="24" t="s">
        <v>627</v>
      </c>
      <c r="B5" s="25" t="s">
        <v>628</v>
      </c>
      <c r="C5" s="25" t="s">
        <v>629</v>
      </c>
      <c r="D5" s="25" t="s">
        <v>630</v>
      </c>
      <c r="E5" s="21" t="s">
        <v>22</v>
      </c>
      <c r="F5" s="25" t="s">
        <v>631</v>
      </c>
      <c r="G5" s="23" t="s">
        <v>44</v>
      </c>
      <c r="H5" s="25" t="s">
        <v>632</v>
      </c>
      <c r="I5" s="26" t="n">
        <v>3</v>
      </c>
      <c r="J5" s="26" t="s">
        <v>107</v>
      </c>
      <c r="K5" s="25" t="s">
        <v>621</v>
      </c>
      <c r="L5" s="25" t="s">
        <v>118</v>
      </c>
      <c r="M5" s="25" t="s">
        <v>109</v>
      </c>
    </row>
    <row r="6" customFormat="false" ht="32.8" hidden="false" customHeight="false" outlineLevel="0" collapsed="false">
      <c r="A6" s="19" t="s">
        <v>633</v>
      </c>
      <c r="B6" s="20" t="s">
        <v>634</v>
      </c>
      <c r="C6" s="20" t="s">
        <v>635</v>
      </c>
      <c r="D6" s="20" t="s">
        <v>636</v>
      </c>
      <c r="E6" s="21" t="s">
        <v>22</v>
      </c>
      <c r="F6" s="20" t="s">
        <v>637</v>
      </c>
      <c r="G6" s="23" t="s">
        <v>44</v>
      </c>
      <c r="H6" s="20" t="s">
        <v>638</v>
      </c>
      <c r="I6" s="22" t="n">
        <v>5</v>
      </c>
      <c r="J6" s="22" t="s">
        <v>107</v>
      </c>
      <c r="K6" s="20" t="s">
        <v>639</v>
      </c>
      <c r="L6" s="20" t="s">
        <v>108</v>
      </c>
      <c r="M6" s="20" t="s">
        <v>109</v>
      </c>
    </row>
    <row r="7" customFormat="false" ht="32.8" hidden="false" customHeight="false" outlineLevel="0" collapsed="false">
      <c r="A7" s="24" t="s">
        <v>640</v>
      </c>
      <c r="B7" s="25" t="s">
        <v>641</v>
      </c>
      <c r="C7" s="25" t="s">
        <v>642</v>
      </c>
      <c r="D7" s="25" t="s">
        <v>643</v>
      </c>
      <c r="E7" s="31" t="s">
        <v>24</v>
      </c>
      <c r="F7" s="25" t="s">
        <v>644</v>
      </c>
      <c r="G7" s="23" t="s">
        <v>44</v>
      </c>
      <c r="H7" s="25" t="s">
        <v>645</v>
      </c>
      <c r="I7" s="26" t="n">
        <v>12</v>
      </c>
      <c r="J7" s="26" t="s">
        <v>107</v>
      </c>
      <c r="K7" s="25" t="s">
        <v>646</v>
      </c>
      <c r="L7" s="25" t="s">
        <v>108</v>
      </c>
      <c r="M7" s="25" t="s">
        <v>109</v>
      </c>
    </row>
    <row r="8" customFormat="false" ht="43.25" hidden="false" customHeight="false" outlineLevel="0" collapsed="false">
      <c r="A8" s="19" t="s">
        <v>647</v>
      </c>
      <c r="B8" s="20" t="s">
        <v>648</v>
      </c>
      <c r="C8" s="20" t="s">
        <v>649</v>
      </c>
      <c r="D8" s="20" t="s">
        <v>650</v>
      </c>
      <c r="E8" s="21" t="s">
        <v>22</v>
      </c>
      <c r="F8" s="20" t="s">
        <v>651</v>
      </c>
      <c r="G8" s="23" t="s">
        <v>44</v>
      </c>
      <c r="H8" s="20" t="s">
        <v>652</v>
      </c>
      <c r="I8" s="22" t="n">
        <v>3</v>
      </c>
      <c r="J8" s="22" t="s">
        <v>107</v>
      </c>
      <c r="K8" s="20" t="s">
        <v>117</v>
      </c>
      <c r="L8" s="20" t="s">
        <v>653</v>
      </c>
      <c r="M8" s="20" t="s">
        <v>109</v>
      </c>
    </row>
    <row r="9" customFormat="false" ht="32.8" hidden="false" customHeight="false" outlineLevel="0" collapsed="false">
      <c r="A9" s="24" t="s">
        <v>117</v>
      </c>
      <c r="B9" s="25" t="s">
        <v>654</v>
      </c>
      <c r="C9" s="25" t="s">
        <v>655</v>
      </c>
      <c r="D9" s="25" t="s">
        <v>656</v>
      </c>
      <c r="E9" s="31" t="s">
        <v>24</v>
      </c>
      <c r="F9" s="25" t="s">
        <v>657</v>
      </c>
      <c r="G9" s="23" t="s">
        <v>44</v>
      </c>
      <c r="H9" s="25" t="s">
        <v>658</v>
      </c>
      <c r="I9" s="26" t="n">
        <v>8</v>
      </c>
      <c r="J9" s="26" t="s">
        <v>107</v>
      </c>
      <c r="K9" s="25" t="s">
        <v>107</v>
      </c>
      <c r="L9" s="25" t="s">
        <v>108</v>
      </c>
      <c r="M9" s="25" t="s">
        <v>109</v>
      </c>
    </row>
    <row r="10" customFormat="false" ht="32.8" hidden="false" customHeight="false" outlineLevel="0" collapsed="false">
      <c r="A10" s="19" t="s">
        <v>659</v>
      </c>
      <c r="B10" s="20" t="s">
        <v>660</v>
      </c>
      <c r="C10" s="20" t="s">
        <v>661</v>
      </c>
      <c r="D10" s="20" t="s">
        <v>662</v>
      </c>
      <c r="E10" s="21" t="s">
        <v>22</v>
      </c>
      <c r="F10" s="20" t="s">
        <v>663</v>
      </c>
      <c r="G10" s="27" t="s">
        <v>46</v>
      </c>
      <c r="H10" s="20" t="s">
        <v>664</v>
      </c>
      <c r="I10" s="22" t="n">
        <v>3</v>
      </c>
      <c r="J10" s="22" t="s">
        <v>107</v>
      </c>
      <c r="K10" s="20" t="s">
        <v>117</v>
      </c>
      <c r="L10" s="20" t="s">
        <v>108</v>
      </c>
      <c r="M10" s="20" t="s">
        <v>119</v>
      </c>
    </row>
    <row r="11" customFormat="false" ht="22.35" hidden="false" customHeight="false" outlineLevel="0" collapsed="false">
      <c r="A11" s="24" t="s">
        <v>665</v>
      </c>
      <c r="B11" s="25" t="s">
        <v>666</v>
      </c>
      <c r="C11" s="25" t="s">
        <v>667</v>
      </c>
      <c r="D11" s="25" t="s">
        <v>668</v>
      </c>
      <c r="E11" s="31" t="s">
        <v>24</v>
      </c>
      <c r="F11" s="25" t="s">
        <v>669</v>
      </c>
      <c r="G11" s="23" t="s">
        <v>44</v>
      </c>
      <c r="H11" s="25" t="s">
        <v>670</v>
      </c>
      <c r="I11" s="26" t="n">
        <v>4</v>
      </c>
      <c r="J11" s="26" t="s">
        <v>107</v>
      </c>
      <c r="K11" s="25" t="s">
        <v>640</v>
      </c>
      <c r="L11" s="25" t="s">
        <v>118</v>
      </c>
      <c r="M11" s="25" t="s">
        <v>109</v>
      </c>
    </row>
    <row r="12" customFormat="false" ht="32.8" hidden="false" customHeight="false" outlineLevel="0" collapsed="false">
      <c r="A12" s="19" t="s">
        <v>671</v>
      </c>
      <c r="B12" s="20" t="s">
        <v>672</v>
      </c>
      <c r="C12" s="20" t="s">
        <v>673</v>
      </c>
      <c r="D12" s="20" t="s">
        <v>674</v>
      </c>
      <c r="E12" s="31" t="s">
        <v>24</v>
      </c>
      <c r="F12" s="20" t="s">
        <v>675</v>
      </c>
      <c r="G12" s="23" t="s">
        <v>44</v>
      </c>
      <c r="H12" s="20" t="s">
        <v>676</v>
      </c>
      <c r="I12" s="22" t="n">
        <v>12</v>
      </c>
      <c r="J12" s="32" t="n">
        <v>15000</v>
      </c>
      <c r="K12" s="20" t="s">
        <v>633</v>
      </c>
      <c r="L12" s="20" t="s">
        <v>118</v>
      </c>
      <c r="M12" s="20" t="s">
        <v>109</v>
      </c>
    </row>
    <row r="13" customFormat="false" ht="32.8" hidden="false" customHeight="false" outlineLevel="0" collapsed="false">
      <c r="A13" s="24" t="s">
        <v>677</v>
      </c>
      <c r="B13" s="25" t="s">
        <v>678</v>
      </c>
      <c r="C13" s="25" t="s">
        <v>679</v>
      </c>
      <c r="D13" s="25" t="s">
        <v>680</v>
      </c>
      <c r="E13" s="31" t="s">
        <v>24</v>
      </c>
      <c r="F13" s="25" t="s">
        <v>681</v>
      </c>
      <c r="G13" s="23" t="s">
        <v>44</v>
      </c>
      <c r="H13" s="25" t="s">
        <v>682</v>
      </c>
      <c r="I13" s="26" t="n">
        <v>20</v>
      </c>
      <c r="J13" s="26" t="s">
        <v>107</v>
      </c>
      <c r="K13" s="25" t="s">
        <v>683</v>
      </c>
      <c r="L13" s="25" t="s">
        <v>118</v>
      </c>
      <c r="M13" s="25" t="s">
        <v>109</v>
      </c>
    </row>
    <row r="14" customFormat="false" ht="32.8" hidden="false" customHeight="false" outlineLevel="0" collapsed="false">
      <c r="A14" s="19" t="s">
        <v>684</v>
      </c>
      <c r="B14" s="20" t="s">
        <v>685</v>
      </c>
      <c r="C14" s="20" t="s">
        <v>686</v>
      </c>
      <c r="D14" s="20" t="s">
        <v>687</v>
      </c>
      <c r="E14" s="31" t="s">
        <v>24</v>
      </c>
      <c r="F14" s="20" t="s">
        <v>688</v>
      </c>
      <c r="G14" s="23" t="s">
        <v>44</v>
      </c>
      <c r="H14" s="20" t="s">
        <v>689</v>
      </c>
      <c r="I14" s="22" t="n">
        <v>5</v>
      </c>
      <c r="J14" s="22" t="s">
        <v>107</v>
      </c>
      <c r="K14" s="20" t="s">
        <v>690</v>
      </c>
      <c r="L14" s="20" t="s">
        <v>108</v>
      </c>
      <c r="M14" s="20" t="s">
        <v>109</v>
      </c>
    </row>
    <row r="15" customFormat="false" ht="22.35" hidden="false" customHeight="false" outlineLevel="0" collapsed="false">
      <c r="A15" s="24" t="s">
        <v>691</v>
      </c>
      <c r="B15" s="25" t="s">
        <v>692</v>
      </c>
      <c r="C15" s="25" t="s">
        <v>693</v>
      </c>
      <c r="D15" s="25" t="s">
        <v>694</v>
      </c>
      <c r="E15" s="21" t="s">
        <v>22</v>
      </c>
      <c r="F15" s="25" t="s">
        <v>695</v>
      </c>
      <c r="G15" s="29" t="s">
        <v>48</v>
      </c>
      <c r="H15" s="25" t="s">
        <v>696</v>
      </c>
      <c r="I15" s="26" t="n">
        <v>2</v>
      </c>
      <c r="J15" s="26" t="s">
        <v>107</v>
      </c>
      <c r="K15" s="25" t="s">
        <v>640</v>
      </c>
      <c r="L15" s="25" t="s">
        <v>118</v>
      </c>
      <c r="M15" s="25" t="s">
        <v>146</v>
      </c>
    </row>
    <row r="16" customFormat="false" ht="22.35" hidden="false" customHeight="false" outlineLevel="0" collapsed="false">
      <c r="A16" s="19" t="s">
        <v>697</v>
      </c>
      <c r="B16" s="20" t="s">
        <v>698</v>
      </c>
      <c r="C16" s="20" t="s">
        <v>699</v>
      </c>
      <c r="D16" s="20" t="s">
        <v>700</v>
      </c>
      <c r="E16" s="28" t="s">
        <v>20</v>
      </c>
      <c r="F16" s="20"/>
      <c r="G16" s="20"/>
      <c r="H16" s="20"/>
      <c r="I16" s="22"/>
      <c r="J16" s="22"/>
      <c r="K16" s="20"/>
      <c r="L16" s="20"/>
      <c r="M16" s="20"/>
    </row>
    <row r="17" customFormat="false" ht="32.8" hidden="false" customHeight="false" outlineLevel="0" collapsed="false">
      <c r="A17" s="24" t="s">
        <v>701</v>
      </c>
      <c r="B17" s="25" t="s">
        <v>702</v>
      </c>
      <c r="C17" s="25" t="s">
        <v>703</v>
      </c>
      <c r="D17" s="25" t="s">
        <v>704</v>
      </c>
      <c r="E17" s="21" t="s">
        <v>22</v>
      </c>
      <c r="F17" s="25" t="s">
        <v>705</v>
      </c>
      <c r="G17" s="27" t="s">
        <v>46</v>
      </c>
      <c r="H17" s="25" t="s">
        <v>706</v>
      </c>
      <c r="I17" s="26" t="n">
        <v>6</v>
      </c>
      <c r="J17" s="26" t="s">
        <v>107</v>
      </c>
      <c r="K17" s="25" t="s">
        <v>659</v>
      </c>
      <c r="L17" s="25" t="s">
        <v>371</v>
      </c>
      <c r="M17" s="25" t="s">
        <v>119</v>
      </c>
    </row>
    <row r="18" customFormat="false" ht="32.8" hidden="false" customHeight="false" outlineLevel="0" collapsed="false">
      <c r="A18" s="19" t="s">
        <v>707</v>
      </c>
      <c r="B18" s="20" t="s">
        <v>708</v>
      </c>
      <c r="C18" s="20" t="s">
        <v>709</v>
      </c>
      <c r="D18" s="20" t="s">
        <v>710</v>
      </c>
      <c r="E18" s="21" t="s">
        <v>22</v>
      </c>
      <c r="F18" s="20" t="s">
        <v>711</v>
      </c>
      <c r="G18" s="27" t="s">
        <v>46</v>
      </c>
      <c r="H18" s="20" t="s">
        <v>712</v>
      </c>
      <c r="I18" s="22" t="n">
        <v>8</v>
      </c>
      <c r="J18" s="22" t="s">
        <v>107</v>
      </c>
      <c r="K18" s="20" t="s">
        <v>334</v>
      </c>
      <c r="L18" s="20" t="s">
        <v>108</v>
      </c>
      <c r="M18" s="20" t="s">
        <v>119</v>
      </c>
    </row>
    <row r="19" customFormat="false" ht="22.35" hidden="false" customHeight="false" outlineLevel="0" collapsed="false">
      <c r="A19" s="24" t="s">
        <v>713</v>
      </c>
      <c r="B19" s="25" t="s">
        <v>714</v>
      </c>
      <c r="C19" s="25" t="s">
        <v>715</v>
      </c>
      <c r="D19" s="25" t="s">
        <v>716</v>
      </c>
      <c r="E19" s="21" t="s">
        <v>22</v>
      </c>
      <c r="F19" s="25" t="s">
        <v>717</v>
      </c>
      <c r="G19" s="29" t="s">
        <v>48</v>
      </c>
      <c r="H19" s="25" t="s">
        <v>718</v>
      </c>
      <c r="I19" s="26" t="n">
        <v>3</v>
      </c>
      <c r="J19" s="26" t="s">
        <v>107</v>
      </c>
      <c r="K19" s="25" t="s">
        <v>627</v>
      </c>
      <c r="L19" s="25" t="s">
        <v>719</v>
      </c>
      <c r="M19" s="25" t="s">
        <v>146</v>
      </c>
    </row>
    <row r="20" customFormat="false" ht="43.25" hidden="false" customHeight="false" outlineLevel="0" collapsed="false">
      <c r="A20" s="19" t="s">
        <v>720</v>
      </c>
      <c r="B20" s="20" t="s">
        <v>721</v>
      </c>
      <c r="C20" s="20" t="s">
        <v>722</v>
      </c>
      <c r="D20" s="20" t="s">
        <v>723</v>
      </c>
      <c r="E20" s="21" t="s">
        <v>22</v>
      </c>
      <c r="F20" s="20" t="s">
        <v>724</v>
      </c>
      <c r="G20" s="27" t="s">
        <v>46</v>
      </c>
      <c r="H20" s="20" t="s">
        <v>725</v>
      </c>
      <c r="I20" s="22" t="n">
        <v>10</v>
      </c>
      <c r="J20" s="22" t="s">
        <v>107</v>
      </c>
      <c r="K20" s="20" t="s">
        <v>312</v>
      </c>
      <c r="L20" s="20" t="s">
        <v>118</v>
      </c>
      <c r="M20" s="20" t="s">
        <v>119</v>
      </c>
    </row>
    <row r="21" customFormat="false" ht="32.8" hidden="false" customHeight="false" outlineLevel="0" collapsed="false">
      <c r="A21" s="24" t="s">
        <v>726</v>
      </c>
      <c r="B21" s="25" t="s">
        <v>727</v>
      </c>
      <c r="C21" s="25" t="s">
        <v>728</v>
      </c>
      <c r="D21" s="25" t="s">
        <v>729</v>
      </c>
      <c r="E21" s="21" t="s">
        <v>22</v>
      </c>
      <c r="F21" s="25" t="s">
        <v>730</v>
      </c>
      <c r="G21" s="27" t="s">
        <v>46</v>
      </c>
      <c r="H21" s="25" t="s">
        <v>731</v>
      </c>
      <c r="I21" s="26" t="n">
        <v>12</v>
      </c>
      <c r="J21" s="26" t="s">
        <v>107</v>
      </c>
      <c r="K21" s="25" t="s">
        <v>640</v>
      </c>
      <c r="L21" s="25" t="s">
        <v>118</v>
      </c>
      <c r="M21" s="25" t="s">
        <v>119</v>
      </c>
    </row>
    <row r="22" customFormat="false" ht="32.8" hidden="false" customHeight="false" outlineLevel="0" collapsed="false">
      <c r="A22" s="19" t="s">
        <v>732</v>
      </c>
      <c r="B22" s="20" t="s">
        <v>733</v>
      </c>
      <c r="C22" s="20" t="s">
        <v>734</v>
      </c>
      <c r="D22" s="20" t="s">
        <v>735</v>
      </c>
      <c r="E22" s="31" t="s">
        <v>24</v>
      </c>
      <c r="F22" s="20" t="s">
        <v>736</v>
      </c>
      <c r="G22" s="23" t="s">
        <v>44</v>
      </c>
      <c r="H22" s="20" t="s">
        <v>737</v>
      </c>
      <c r="I22" s="22" t="n">
        <v>18</v>
      </c>
      <c r="J22" s="22" t="s">
        <v>107</v>
      </c>
      <c r="K22" s="20" t="s">
        <v>671</v>
      </c>
      <c r="L22" s="20" t="s">
        <v>118</v>
      </c>
      <c r="M22" s="20" t="s">
        <v>109</v>
      </c>
    </row>
    <row r="23" customFormat="false" ht="22.35" hidden="false" customHeight="false" outlineLevel="0" collapsed="false">
      <c r="A23" s="24" t="s">
        <v>738</v>
      </c>
      <c r="B23" s="25" t="s">
        <v>739</v>
      </c>
      <c r="C23" s="25" t="s">
        <v>740</v>
      </c>
      <c r="D23" s="25" t="s">
        <v>741</v>
      </c>
      <c r="E23" s="31" t="s">
        <v>24</v>
      </c>
      <c r="F23" s="25" t="s">
        <v>742</v>
      </c>
      <c r="G23" s="23" t="s">
        <v>44</v>
      </c>
      <c r="H23" s="25" t="s">
        <v>743</v>
      </c>
      <c r="I23" s="26" t="n">
        <v>14</v>
      </c>
      <c r="J23" s="26" t="s">
        <v>107</v>
      </c>
      <c r="K23" s="25" t="s">
        <v>677</v>
      </c>
      <c r="L23" s="25" t="s">
        <v>118</v>
      </c>
      <c r="M23" s="25" t="s">
        <v>109</v>
      </c>
    </row>
    <row r="24" customFormat="false" ht="32.8" hidden="false" customHeight="false" outlineLevel="0" collapsed="false">
      <c r="A24" s="19" t="s">
        <v>744</v>
      </c>
      <c r="B24" s="20" t="s">
        <v>745</v>
      </c>
      <c r="C24" s="20" t="s">
        <v>746</v>
      </c>
      <c r="D24" s="20" t="s">
        <v>747</v>
      </c>
      <c r="E24" s="21" t="s">
        <v>22</v>
      </c>
      <c r="F24" s="20" t="s">
        <v>748</v>
      </c>
      <c r="G24" s="27" t="s">
        <v>46</v>
      </c>
      <c r="H24" s="20" t="s">
        <v>749</v>
      </c>
      <c r="I24" s="22" t="n">
        <v>8</v>
      </c>
      <c r="J24" s="22" t="s">
        <v>107</v>
      </c>
      <c r="K24" s="20" t="s">
        <v>684</v>
      </c>
      <c r="L24" s="20" t="s">
        <v>118</v>
      </c>
      <c r="M24" s="20" t="s">
        <v>119</v>
      </c>
    </row>
    <row r="25" customFormat="false" ht="32.8" hidden="false" customHeight="false" outlineLevel="0" collapsed="false">
      <c r="A25" s="24" t="s">
        <v>310</v>
      </c>
      <c r="B25" s="25" t="s">
        <v>750</v>
      </c>
      <c r="C25" s="25" t="s">
        <v>751</v>
      </c>
      <c r="D25" s="25" t="s">
        <v>752</v>
      </c>
      <c r="E25" s="21" t="s">
        <v>22</v>
      </c>
      <c r="F25" s="25" t="s">
        <v>753</v>
      </c>
      <c r="G25" s="23" t="s">
        <v>44</v>
      </c>
      <c r="H25" s="25" t="s">
        <v>754</v>
      </c>
      <c r="I25" s="26" t="n">
        <v>25</v>
      </c>
      <c r="J25" s="30" t="n">
        <v>45000</v>
      </c>
      <c r="K25" s="25" t="s">
        <v>755</v>
      </c>
      <c r="L25" s="25" t="s">
        <v>311</v>
      </c>
      <c r="M25" s="25" t="s">
        <v>109</v>
      </c>
    </row>
    <row r="26" customFormat="false" ht="43.25" hidden="false" customHeight="false" outlineLevel="0" collapsed="false">
      <c r="A26" s="19" t="s">
        <v>756</v>
      </c>
      <c r="B26" s="20" t="s">
        <v>757</v>
      </c>
      <c r="C26" s="20" t="s">
        <v>758</v>
      </c>
      <c r="D26" s="20" t="s">
        <v>759</v>
      </c>
      <c r="E26" s="31" t="s">
        <v>24</v>
      </c>
      <c r="F26" s="20" t="s">
        <v>760</v>
      </c>
      <c r="G26" s="23" t="s">
        <v>44</v>
      </c>
      <c r="H26" s="20" t="s">
        <v>761</v>
      </c>
      <c r="I26" s="22" t="n">
        <v>5</v>
      </c>
      <c r="J26" s="22" t="s">
        <v>107</v>
      </c>
      <c r="K26" s="20" t="s">
        <v>762</v>
      </c>
      <c r="L26" s="20" t="s">
        <v>108</v>
      </c>
      <c r="M26" s="20" t="s">
        <v>109</v>
      </c>
    </row>
    <row r="27" customFormat="false" ht="22.35" hidden="false" customHeight="false" outlineLevel="0" collapsed="false">
      <c r="A27" s="24" t="s">
        <v>763</v>
      </c>
      <c r="B27" s="25" t="s">
        <v>764</v>
      </c>
      <c r="C27" s="25" t="s">
        <v>765</v>
      </c>
      <c r="D27" s="25" t="s">
        <v>766</v>
      </c>
      <c r="E27" s="21" t="s">
        <v>22</v>
      </c>
      <c r="F27" s="25" t="s">
        <v>767</v>
      </c>
      <c r="G27" s="27" t="s">
        <v>46</v>
      </c>
      <c r="H27" s="25" t="s">
        <v>768</v>
      </c>
      <c r="I27" s="26" t="n">
        <v>3</v>
      </c>
      <c r="J27" s="26" t="s">
        <v>107</v>
      </c>
      <c r="K27" s="25" t="s">
        <v>756</v>
      </c>
      <c r="L27" s="25" t="s">
        <v>108</v>
      </c>
      <c r="M27" s="25" t="s">
        <v>119</v>
      </c>
    </row>
    <row r="28" customFormat="false" ht="32.8" hidden="false" customHeight="false" outlineLevel="0" collapsed="false">
      <c r="A28" s="19" t="s">
        <v>769</v>
      </c>
      <c r="B28" s="20" t="s">
        <v>770</v>
      </c>
      <c r="C28" s="20" t="s">
        <v>771</v>
      </c>
      <c r="D28" s="20" t="s">
        <v>772</v>
      </c>
      <c r="E28" s="21" t="s">
        <v>22</v>
      </c>
      <c r="F28" s="20" t="s">
        <v>773</v>
      </c>
      <c r="G28" s="27" t="s">
        <v>46</v>
      </c>
      <c r="H28" s="20" t="s">
        <v>774</v>
      </c>
      <c r="I28" s="22" t="n">
        <v>6</v>
      </c>
      <c r="J28" s="22" t="s">
        <v>107</v>
      </c>
      <c r="K28" s="20" t="s">
        <v>640</v>
      </c>
      <c r="L28" s="20" t="s">
        <v>118</v>
      </c>
      <c r="M28" s="20" t="s">
        <v>119</v>
      </c>
    </row>
  </sheetData>
  <autoFilter ref="A3:M28"/>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9"/>
    <col collapsed="false" customWidth="true" hidden="false" outlineLevel="0" max="4" min="4" style="0" width="66"/>
    <col collapsed="false" customWidth="true" hidden="false" outlineLevel="0" max="5" min="5" style="0" width="11"/>
    <col collapsed="false" customWidth="true" hidden="false" outlineLevel="0" max="6" min="6" style="0" width="14"/>
    <col collapsed="false" customWidth="true" hidden="false" outlineLevel="0" max="7" min="7" style="0" width="16"/>
    <col collapsed="false" customWidth="true" hidden="false" outlineLevel="0" max="8" min="8" style="0" width="18"/>
    <col collapsed="false" customWidth="true" hidden="false" outlineLevel="0" max="10" min="9" style="0" width="13"/>
    <col collapsed="false" customWidth="true" hidden="false" outlineLevel="0" max="11" min="11" style="0" width="24"/>
  </cols>
  <sheetData>
    <row r="1" customFormat="false" ht="21.75" hidden="false" customHeight="true" outlineLevel="0" collapsed="false">
      <c r="A1" s="1" t="s">
        <v>775</v>
      </c>
      <c r="B1" s="1"/>
      <c r="C1" s="1"/>
      <c r="D1" s="1"/>
      <c r="E1" s="1"/>
      <c r="F1" s="1"/>
      <c r="G1" s="1"/>
      <c r="H1" s="1"/>
    </row>
    <row r="2" customFormat="false" ht="15" hidden="false" customHeight="false" outlineLevel="0" collapsed="false">
      <c r="A2" s="2" t="s">
        <v>776</v>
      </c>
      <c r="B2" s="2"/>
      <c r="C2" s="2"/>
      <c r="D2" s="2"/>
      <c r="E2" s="2"/>
      <c r="F2" s="2"/>
      <c r="G2" s="2"/>
      <c r="H2" s="2"/>
    </row>
    <row r="3" customFormat="false" ht="30" hidden="false" customHeight="true" outlineLevel="0" collapsed="false">
      <c r="A3" s="7" t="s">
        <v>777</v>
      </c>
      <c r="B3" s="7" t="s">
        <v>778</v>
      </c>
      <c r="C3" s="7" t="s">
        <v>74</v>
      </c>
      <c r="D3" s="7" t="s">
        <v>779</v>
      </c>
      <c r="E3" s="7" t="s">
        <v>94</v>
      </c>
      <c r="F3" s="7" t="s">
        <v>780</v>
      </c>
      <c r="G3" s="7" t="s">
        <v>96</v>
      </c>
      <c r="H3" s="7" t="s">
        <v>97</v>
      </c>
      <c r="I3" s="7" t="s">
        <v>98</v>
      </c>
      <c r="J3" s="7" t="s">
        <v>57</v>
      </c>
      <c r="K3" s="7" t="s">
        <v>781</v>
      </c>
    </row>
    <row r="4" customFormat="false" ht="15" hidden="false" customHeight="false" outlineLevel="0" collapsed="false">
      <c r="A4" s="35" t="s">
        <v>782</v>
      </c>
      <c r="B4" s="36" t="s">
        <v>783</v>
      </c>
      <c r="C4" s="36"/>
      <c r="D4" s="36"/>
      <c r="E4" s="36"/>
      <c r="F4" s="36"/>
      <c r="G4" s="36"/>
      <c r="H4" s="36"/>
      <c r="I4" s="36"/>
      <c r="J4" s="36"/>
      <c r="K4" s="36"/>
    </row>
    <row r="5" customFormat="false" ht="32.8" hidden="false" customHeight="false" outlineLevel="0" collapsed="false">
      <c r="A5" s="37" t="s">
        <v>621</v>
      </c>
      <c r="B5" s="20" t="s">
        <v>622</v>
      </c>
      <c r="C5" s="38" t="s">
        <v>44</v>
      </c>
      <c r="D5" s="20" t="s">
        <v>626</v>
      </c>
      <c r="E5" s="22" t="n">
        <v>4</v>
      </c>
      <c r="F5" s="22" t="s">
        <v>107</v>
      </c>
      <c r="G5" s="20" t="s">
        <v>107</v>
      </c>
      <c r="H5" s="20" t="s">
        <v>118</v>
      </c>
      <c r="I5" s="20" t="s">
        <v>109</v>
      </c>
      <c r="J5" s="39" t="s">
        <v>784</v>
      </c>
      <c r="K5" s="20"/>
    </row>
    <row r="6" customFormat="false" ht="22.35" hidden="false" customHeight="false" outlineLevel="0" collapsed="false">
      <c r="A6" s="37" t="s">
        <v>627</v>
      </c>
      <c r="B6" s="20" t="s">
        <v>628</v>
      </c>
      <c r="C6" s="38" t="s">
        <v>44</v>
      </c>
      <c r="D6" s="20" t="s">
        <v>632</v>
      </c>
      <c r="E6" s="22" t="n">
        <v>3</v>
      </c>
      <c r="F6" s="22" t="s">
        <v>107</v>
      </c>
      <c r="G6" s="20" t="s">
        <v>621</v>
      </c>
      <c r="H6" s="20" t="s">
        <v>118</v>
      </c>
      <c r="I6" s="20" t="s">
        <v>109</v>
      </c>
      <c r="J6" s="39" t="s">
        <v>784</v>
      </c>
      <c r="K6" s="20"/>
    </row>
    <row r="7" customFormat="false" ht="22.35" hidden="false" customHeight="false" outlineLevel="0" collapsed="false">
      <c r="A7" s="37" t="s">
        <v>633</v>
      </c>
      <c r="B7" s="20" t="s">
        <v>634</v>
      </c>
      <c r="C7" s="38" t="s">
        <v>44</v>
      </c>
      <c r="D7" s="20" t="s">
        <v>638</v>
      </c>
      <c r="E7" s="22" t="n">
        <v>5</v>
      </c>
      <c r="F7" s="22" t="s">
        <v>107</v>
      </c>
      <c r="G7" s="20" t="s">
        <v>639</v>
      </c>
      <c r="H7" s="20" t="s">
        <v>118</v>
      </c>
      <c r="I7" s="20" t="s">
        <v>109</v>
      </c>
      <c r="J7" s="39" t="s">
        <v>784</v>
      </c>
      <c r="K7" s="20"/>
    </row>
    <row r="8" customFormat="false" ht="22.35" hidden="false" customHeight="false" outlineLevel="0" collapsed="false">
      <c r="A8" s="37" t="s">
        <v>640</v>
      </c>
      <c r="B8" s="20" t="s">
        <v>641</v>
      </c>
      <c r="C8" s="38" t="s">
        <v>44</v>
      </c>
      <c r="D8" s="20" t="s">
        <v>645</v>
      </c>
      <c r="E8" s="22" t="n">
        <v>12</v>
      </c>
      <c r="F8" s="22" t="s">
        <v>107</v>
      </c>
      <c r="G8" s="20" t="s">
        <v>646</v>
      </c>
      <c r="H8" s="20" t="s">
        <v>118</v>
      </c>
      <c r="I8" s="20" t="s">
        <v>109</v>
      </c>
      <c r="J8" s="39" t="s">
        <v>784</v>
      </c>
      <c r="K8" s="20"/>
    </row>
    <row r="9" customFormat="false" ht="22.35" hidden="false" customHeight="false" outlineLevel="0" collapsed="false">
      <c r="A9" s="37" t="s">
        <v>647</v>
      </c>
      <c r="B9" s="20" t="s">
        <v>648</v>
      </c>
      <c r="C9" s="38" t="s">
        <v>44</v>
      </c>
      <c r="D9" s="20" t="s">
        <v>652</v>
      </c>
      <c r="E9" s="22" t="n">
        <v>3</v>
      </c>
      <c r="F9" s="22" t="s">
        <v>107</v>
      </c>
      <c r="G9" s="20" t="s">
        <v>117</v>
      </c>
      <c r="H9" s="20" t="s">
        <v>118</v>
      </c>
      <c r="I9" s="20" t="s">
        <v>109</v>
      </c>
      <c r="J9" s="39" t="s">
        <v>784</v>
      </c>
      <c r="K9" s="20"/>
    </row>
    <row r="10" customFormat="false" ht="22.35" hidden="false" customHeight="false" outlineLevel="0" collapsed="false">
      <c r="A10" s="37" t="s">
        <v>117</v>
      </c>
      <c r="B10" s="20" t="s">
        <v>654</v>
      </c>
      <c r="C10" s="38" t="s">
        <v>44</v>
      </c>
      <c r="D10" s="20" t="s">
        <v>658</v>
      </c>
      <c r="E10" s="22" t="n">
        <v>8</v>
      </c>
      <c r="F10" s="22" t="s">
        <v>107</v>
      </c>
      <c r="G10" s="20" t="s">
        <v>107</v>
      </c>
      <c r="H10" s="20" t="s">
        <v>118</v>
      </c>
      <c r="I10" s="20" t="s">
        <v>109</v>
      </c>
      <c r="J10" s="39" t="s">
        <v>784</v>
      </c>
      <c r="K10" s="20"/>
    </row>
    <row r="11" customFormat="false" ht="22.35" hidden="false" customHeight="false" outlineLevel="0" collapsed="false">
      <c r="A11" s="37" t="s">
        <v>659</v>
      </c>
      <c r="B11" s="20" t="s">
        <v>660</v>
      </c>
      <c r="C11" s="40" t="s">
        <v>46</v>
      </c>
      <c r="D11" s="20" t="s">
        <v>664</v>
      </c>
      <c r="E11" s="22" t="n">
        <v>3</v>
      </c>
      <c r="F11" s="22" t="s">
        <v>107</v>
      </c>
      <c r="G11" s="20" t="s">
        <v>117</v>
      </c>
      <c r="H11" s="20" t="s">
        <v>118</v>
      </c>
      <c r="I11" s="20" t="s">
        <v>119</v>
      </c>
      <c r="J11" s="39" t="s">
        <v>784</v>
      </c>
      <c r="K11" s="20"/>
    </row>
    <row r="12" customFormat="false" ht="22.35" hidden="false" customHeight="false" outlineLevel="0" collapsed="false">
      <c r="A12" s="37" t="s">
        <v>665</v>
      </c>
      <c r="B12" s="20" t="s">
        <v>666</v>
      </c>
      <c r="C12" s="38" t="s">
        <v>44</v>
      </c>
      <c r="D12" s="20" t="s">
        <v>670</v>
      </c>
      <c r="E12" s="22" t="n">
        <v>4</v>
      </c>
      <c r="F12" s="22" t="s">
        <v>107</v>
      </c>
      <c r="G12" s="20" t="s">
        <v>640</v>
      </c>
      <c r="H12" s="20" t="s">
        <v>118</v>
      </c>
      <c r="I12" s="20" t="s">
        <v>109</v>
      </c>
      <c r="J12" s="39" t="s">
        <v>784</v>
      </c>
      <c r="K12" s="20"/>
    </row>
    <row r="13" customFormat="false" ht="22.35" hidden="false" customHeight="false" outlineLevel="0" collapsed="false">
      <c r="A13" s="37" t="s">
        <v>671</v>
      </c>
      <c r="B13" s="20" t="s">
        <v>672</v>
      </c>
      <c r="C13" s="38" t="s">
        <v>44</v>
      </c>
      <c r="D13" s="20" t="s">
        <v>676</v>
      </c>
      <c r="E13" s="22" t="n">
        <v>12</v>
      </c>
      <c r="F13" s="32" t="n">
        <v>15000</v>
      </c>
      <c r="G13" s="20" t="s">
        <v>633</v>
      </c>
      <c r="H13" s="20" t="s">
        <v>118</v>
      </c>
      <c r="I13" s="20" t="s">
        <v>109</v>
      </c>
      <c r="J13" s="39" t="s">
        <v>784</v>
      </c>
      <c r="K13" s="20"/>
    </row>
    <row r="14" customFormat="false" ht="32.8" hidden="false" customHeight="false" outlineLevel="0" collapsed="false">
      <c r="A14" s="37" t="s">
        <v>677</v>
      </c>
      <c r="B14" s="20" t="s">
        <v>678</v>
      </c>
      <c r="C14" s="38" t="s">
        <v>44</v>
      </c>
      <c r="D14" s="20" t="s">
        <v>682</v>
      </c>
      <c r="E14" s="22" t="n">
        <v>20</v>
      </c>
      <c r="F14" s="22" t="s">
        <v>107</v>
      </c>
      <c r="G14" s="20" t="s">
        <v>683</v>
      </c>
      <c r="H14" s="20" t="s">
        <v>118</v>
      </c>
      <c r="I14" s="20" t="s">
        <v>109</v>
      </c>
      <c r="J14" s="39" t="s">
        <v>784</v>
      </c>
      <c r="K14" s="20"/>
    </row>
    <row r="15" customFormat="false" ht="22.35" hidden="false" customHeight="false" outlineLevel="0" collapsed="false">
      <c r="A15" s="37" t="s">
        <v>684</v>
      </c>
      <c r="B15" s="20" t="s">
        <v>685</v>
      </c>
      <c r="C15" s="38" t="s">
        <v>44</v>
      </c>
      <c r="D15" s="20" t="s">
        <v>689</v>
      </c>
      <c r="E15" s="22" t="n">
        <v>5</v>
      </c>
      <c r="F15" s="22" t="s">
        <v>107</v>
      </c>
      <c r="G15" s="20" t="s">
        <v>690</v>
      </c>
      <c r="H15" s="20" t="s">
        <v>118</v>
      </c>
      <c r="I15" s="20" t="s">
        <v>109</v>
      </c>
      <c r="J15" s="39" t="s">
        <v>784</v>
      </c>
      <c r="K15" s="20"/>
    </row>
    <row r="16" customFormat="false" ht="15" hidden="false" customHeight="false" outlineLevel="0" collapsed="false">
      <c r="A16" s="37" t="s">
        <v>691</v>
      </c>
      <c r="B16" s="20" t="s">
        <v>692</v>
      </c>
      <c r="C16" s="41" t="s">
        <v>48</v>
      </c>
      <c r="D16" s="20" t="s">
        <v>696</v>
      </c>
      <c r="E16" s="22" t="n">
        <v>2</v>
      </c>
      <c r="F16" s="22" t="s">
        <v>107</v>
      </c>
      <c r="G16" s="20" t="s">
        <v>640</v>
      </c>
      <c r="H16" s="20" t="s">
        <v>118</v>
      </c>
      <c r="I16" s="20" t="s">
        <v>146</v>
      </c>
      <c r="J16" s="39" t="s">
        <v>784</v>
      </c>
      <c r="K16" s="20"/>
    </row>
    <row r="17" customFormat="false" ht="22.35" hidden="false" customHeight="false" outlineLevel="0" collapsed="false">
      <c r="A17" s="37" t="s">
        <v>701</v>
      </c>
      <c r="B17" s="20" t="s">
        <v>702</v>
      </c>
      <c r="C17" s="40" t="s">
        <v>46</v>
      </c>
      <c r="D17" s="20" t="s">
        <v>706</v>
      </c>
      <c r="E17" s="22" t="n">
        <v>6</v>
      </c>
      <c r="F17" s="22" t="s">
        <v>107</v>
      </c>
      <c r="G17" s="20" t="s">
        <v>659</v>
      </c>
      <c r="H17" s="20" t="s">
        <v>118</v>
      </c>
      <c r="I17" s="20" t="s">
        <v>119</v>
      </c>
      <c r="J17" s="39" t="s">
        <v>784</v>
      </c>
      <c r="K17" s="20"/>
    </row>
    <row r="18" customFormat="false" ht="22.35" hidden="false" customHeight="false" outlineLevel="0" collapsed="false">
      <c r="A18" s="37" t="s">
        <v>713</v>
      </c>
      <c r="B18" s="20" t="s">
        <v>714</v>
      </c>
      <c r="C18" s="41" t="s">
        <v>48</v>
      </c>
      <c r="D18" s="20" t="s">
        <v>718</v>
      </c>
      <c r="E18" s="22" t="n">
        <v>3</v>
      </c>
      <c r="F18" s="22" t="s">
        <v>107</v>
      </c>
      <c r="G18" s="20" t="s">
        <v>627</v>
      </c>
      <c r="H18" s="20" t="s">
        <v>118</v>
      </c>
      <c r="I18" s="20" t="s">
        <v>146</v>
      </c>
      <c r="J18" s="39" t="s">
        <v>784</v>
      </c>
      <c r="K18" s="20"/>
    </row>
    <row r="19" customFormat="false" ht="22.35" hidden="false" customHeight="false" outlineLevel="0" collapsed="false">
      <c r="A19" s="37" t="s">
        <v>720</v>
      </c>
      <c r="B19" s="20" t="s">
        <v>721</v>
      </c>
      <c r="C19" s="40" t="s">
        <v>46</v>
      </c>
      <c r="D19" s="20" t="s">
        <v>725</v>
      </c>
      <c r="E19" s="22" t="n">
        <v>10</v>
      </c>
      <c r="F19" s="22" t="s">
        <v>107</v>
      </c>
      <c r="G19" s="20" t="s">
        <v>312</v>
      </c>
      <c r="H19" s="20" t="s">
        <v>118</v>
      </c>
      <c r="I19" s="20" t="s">
        <v>119</v>
      </c>
      <c r="J19" s="39" t="s">
        <v>784</v>
      </c>
      <c r="K19" s="20"/>
    </row>
    <row r="20" customFormat="false" ht="22.35" hidden="false" customHeight="false" outlineLevel="0" collapsed="false">
      <c r="A20" s="37" t="s">
        <v>726</v>
      </c>
      <c r="B20" s="20" t="s">
        <v>727</v>
      </c>
      <c r="C20" s="40" t="s">
        <v>46</v>
      </c>
      <c r="D20" s="20" t="s">
        <v>731</v>
      </c>
      <c r="E20" s="22" t="n">
        <v>12</v>
      </c>
      <c r="F20" s="22" t="s">
        <v>107</v>
      </c>
      <c r="G20" s="20" t="s">
        <v>640</v>
      </c>
      <c r="H20" s="20" t="s">
        <v>118</v>
      </c>
      <c r="I20" s="20" t="s">
        <v>119</v>
      </c>
      <c r="J20" s="39" t="s">
        <v>784</v>
      </c>
      <c r="K20" s="20"/>
    </row>
    <row r="21" customFormat="false" ht="22.35" hidden="false" customHeight="false" outlineLevel="0" collapsed="false">
      <c r="A21" s="37" t="s">
        <v>732</v>
      </c>
      <c r="B21" s="20" t="s">
        <v>733</v>
      </c>
      <c r="C21" s="38" t="s">
        <v>44</v>
      </c>
      <c r="D21" s="20" t="s">
        <v>737</v>
      </c>
      <c r="E21" s="22" t="n">
        <v>18</v>
      </c>
      <c r="F21" s="22" t="s">
        <v>107</v>
      </c>
      <c r="G21" s="20" t="s">
        <v>671</v>
      </c>
      <c r="H21" s="20" t="s">
        <v>118</v>
      </c>
      <c r="I21" s="20" t="s">
        <v>109</v>
      </c>
      <c r="J21" s="39" t="s">
        <v>784</v>
      </c>
      <c r="K21" s="20"/>
    </row>
    <row r="22" customFormat="false" ht="22.35" hidden="false" customHeight="false" outlineLevel="0" collapsed="false">
      <c r="A22" s="37" t="s">
        <v>738</v>
      </c>
      <c r="B22" s="20" t="s">
        <v>739</v>
      </c>
      <c r="C22" s="38" t="s">
        <v>44</v>
      </c>
      <c r="D22" s="20" t="s">
        <v>743</v>
      </c>
      <c r="E22" s="22" t="n">
        <v>14</v>
      </c>
      <c r="F22" s="22" t="s">
        <v>107</v>
      </c>
      <c r="G22" s="20" t="s">
        <v>677</v>
      </c>
      <c r="H22" s="20" t="s">
        <v>118</v>
      </c>
      <c r="I22" s="20" t="s">
        <v>109</v>
      </c>
      <c r="J22" s="39" t="s">
        <v>784</v>
      </c>
      <c r="K22" s="20"/>
    </row>
    <row r="23" customFormat="false" ht="22.35" hidden="false" customHeight="false" outlineLevel="0" collapsed="false">
      <c r="A23" s="37" t="s">
        <v>744</v>
      </c>
      <c r="B23" s="20" t="s">
        <v>745</v>
      </c>
      <c r="C23" s="40" t="s">
        <v>46</v>
      </c>
      <c r="D23" s="20" t="s">
        <v>749</v>
      </c>
      <c r="E23" s="22" t="n">
        <v>8</v>
      </c>
      <c r="F23" s="22" t="s">
        <v>107</v>
      </c>
      <c r="G23" s="20" t="s">
        <v>684</v>
      </c>
      <c r="H23" s="20" t="s">
        <v>118</v>
      </c>
      <c r="I23" s="20" t="s">
        <v>119</v>
      </c>
      <c r="J23" s="39" t="s">
        <v>784</v>
      </c>
      <c r="K23" s="20"/>
    </row>
    <row r="24" customFormat="false" ht="32.8" hidden="false" customHeight="false" outlineLevel="0" collapsed="false">
      <c r="A24" s="37" t="s">
        <v>310</v>
      </c>
      <c r="B24" s="20" t="s">
        <v>750</v>
      </c>
      <c r="C24" s="38" t="s">
        <v>44</v>
      </c>
      <c r="D24" s="20" t="s">
        <v>754</v>
      </c>
      <c r="E24" s="22" t="n">
        <v>25</v>
      </c>
      <c r="F24" s="32" t="n">
        <v>45000</v>
      </c>
      <c r="G24" s="20" t="s">
        <v>755</v>
      </c>
      <c r="H24" s="20" t="s">
        <v>118</v>
      </c>
      <c r="I24" s="20" t="s">
        <v>109</v>
      </c>
      <c r="J24" s="39" t="s">
        <v>784</v>
      </c>
      <c r="K24" s="20"/>
    </row>
    <row r="25" customFormat="false" ht="22.35" hidden="false" customHeight="false" outlineLevel="0" collapsed="false">
      <c r="A25" s="37" t="s">
        <v>756</v>
      </c>
      <c r="B25" s="20" t="s">
        <v>757</v>
      </c>
      <c r="C25" s="38" t="s">
        <v>44</v>
      </c>
      <c r="D25" s="20" t="s">
        <v>761</v>
      </c>
      <c r="E25" s="22" t="n">
        <v>5</v>
      </c>
      <c r="F25" s="22" t="s">
        <v>107</v>
      </c>
      <c r="G25" s="20" t="s">
        <v>762</v>
      </c>
      <c r="H25" s="20" t="s">
        <v>118</v>
      </c>
      <c r="I25" s="20" t="s">
        <v>109</v>
      </c>
      <c r="J25" s="39" t="s">
        <v>784</v>
      </c>
      <c r="K25" s="20"/>
    </row>
    <row r="26" customFormat="false" ht="22.35" hidden="false" customHeight="false" outlineLevel="0" collapsed="false">
      <c r="A26" s="37" t="s">
        <v>763</v>
      </c>
      <c r="B26" s="20" t="s">
        <v>764</v>
      </c>
      <c r="C26" s="40" t="s">
        <v>46</v>
      </c>
      <c r="D26" s="20" t="s">
        <v>768</v>
      </c>
      <c r="E26" s="22" t="n">
        <v>3</v>
      </c>
      <c r="F26" s="22" t="s">
        <v>107</v>
      </c>
      <c r="G26" s="20" t="s">
        <v>756</v>
      </c>
      <c r="H26" s="20" t="s">
        <v>118</v>
      </c>
      <c r="I26" s="20" t="s">
        <v>119</v>
      </c>
      <c r="J26" s="39" t="s">
        <v>784</v>
      </c>
      <c r="K26" s="20"/>
    </row>
    <row r="27" customFormat="false" ht="32.8" hidden="false" customHeight="false" outlineLevel="0" collapsed="false">
      <c r="A27" s="37" t="s">
        <v>769</v>
      </c>
      <c r="B27" s="20" t="s">
        <v>770</v>
      </c>
      <c r="C27" s="40" t="s">
        <v>46</v>
      </c>
      <c r="D27" s="20" t="s">
        <v>774</v>
      </c>
      <c r="E27" s="22" t="n">
        <v>6</v>
      </c>
      <c r="F27" s="22" t="s">
        <v>107</v>
      </c>
      <c r="G27" s="20" t="s">
        <v>640</v>
      </c>
      <c r="H27" s="20" t="s">
        <v>118</v>
      </c>
      <c r="I27" s="20" t="s">
        <v>119</v>
      </c>
      <c r="J27" s="39" t="s">
        <v>784</v>
      </c>
      <c r="K27" s="20"/>
    </row>
    <row r="28" customFormat="false" ht="32.8" hidden="false" customHeight="false" outlineLevel="0" collapsed="false">
      <c r="A28" s="37" t="s">
        <v>100</v>
      </c>
      <c r="B28" s="20" t="s">
        <v>101</v>
      </c>
      <c r="C28" s="38" t="s">
        <v>44</v>
      </c>
      <c r="D28" s="20" t="s">
        <v>106</v>
      </c>
      <c r="E28" s="22" t="n">
        <v>8</v>
      </c>
      <c r="F28" s="22" t="s">
        <v>107</v>
      </c>
      <c r="G28" s="20" t="s">
        <v>107</v>
      </c>
      <c r="H28" s="20" t="s">
        <v>118</v>
      </c>
      <c r="I28" s="20" t="s">
        <v>109</v>
      </c>
      <c r="J28" s="39" t="s">
        <v>784</v>
      </c>
      <c r="K28" s="20"/>
    </row>
    <row r="29" customFormat="false" ht="32.8" hidden="false" customHeight="false" outlineLevel="0" collapsed="false">
      <c r="A29" s="37" t="s">
        <v>111</v>
      </c>
      <c r="B29" s="20" t="s">
        <v>112</v>
      </c>
      <c r="C29" s="40" t="s">
        <v>46</v>
      </c>
      <c r="D29" s="20" t="s">
        <v>116</v>
      </c>
      <c r="E29" s="22" t="n">
        <v>6</v>
      </c>
      <c r="F29" s="22" t="s">
        <v>107</v>
      </c>
      <c r="G29" s="20" t="s">
        <v>117</v>
      </c>
      <c r="H29" s="20" t="s">
        <v>118</v>
      </c>
      <c r="I29" s="20" t="s">
        <v>119</v>
      </c>
      <c r="J29" s="39" t="s">
        <v>784</v>
      </c>
      <c r="K29" s="20"/>
    </row>
    <row r="30" customFormat="false" ht="22.35" hidden="false" customHeight="false" outlineLevel="0" collapsed="false">
      <c r="A30" s="37" t="s">
        <v>128</v>
      </c>
      <c r="B30" s="20" t="s">
        <v>129</v>
      </c>
      <c r="C30" s="40" t="s">
        <v>46</v>
      </c>
      <c r="D30" s="20" t="s">
        <v>133</v>
      </c>
      <c r="E30" s="22" t="n">
        <v>3</v>
      </c>
      <c r="F30" s="22" t="s">
        <v>107</v>
      </c>
      <c r="G30" s="20" t="s">
        <v>117</v>
      </c>
      <c r="H30" s="20" t="s">
        <v>118</v>
      </c>
      <c r="I30" s="20" t="s">
        <v>119</v>
      </c>
      <c r="J30" s="39" t="s">
        <v>784</v>
      </c>
      <c r="K30" s="20"/>
    </row>
    <row r="32" customFormat="false" ht="15" hidden="false" customHeight="false" outlineLevel="0" collapsed="false">
      <c r="A32" s="35" t="s">
        <v>785</v>
      </c>
      <c r="B32" s="36" t="s">
        <v>786</v>
      </c>
      <c r="C32" s="36"/>
      <c r="D32" s="36"/>
      <c r="E32" s="36"/>
      <c r="F32" s="36"/>
      <c r="G32" s="36"/>
      <c r="H32" s="36"/>
      <c r="I32" s="36"/>
      <c r="J32" s="36"/>
      <c r="K32" s="36"/>
    </row>
    <row r="33" customFormat="false" ht="32.8" hidden="false" customHeight="false" outlineLevel="0" collapsed="false">
      <c r="A33" s="37" t="s">
        <v>126</v>
      </c>
      <c r="B33" s="20" t="s">
        <v>162</v>
      </c>
      <c r="C33" s="38" t="s">
        <v>44</v>
      </c>
      <c r="D33" s="20" t="s">
        <v>167</v>
      </c>
      <c r="E33" s="22" t="n">
        <v>30</v>
      </c>
      <c r="F33" s="22" t="s">
        <v>107</v>
      </c>
      <c r="G33" s="20" t="s">
        <v>107</v>
      </c>
      <c r="H33" s="20" t="s">
        <v>168</v>
      </c>
      <c r="I33" s="20" t="s">
        <v>109</v>
      </c>
      <c r="J33" s="39" t="s">
        <v>784</v>
      </c>
      <c r="K33" s="20"/>
    </row>
    <row r="34" customFormat="false" ht="32.8" hidden="false" customHeight="false" outlineLevel="0" collapsed="false">
      <c r="A34" s="37" t="s">
        <v>238</v>
      </c>
      <c r="B34" s="20" t="s">
        <v>239</v>
      </c>
      <c r="C34" s="38" t="s">
        <v>44</v>
      </c>
      <c r="D34" s="20" t="s">
        <v>243</v>
      </c>
      <c r="E34" s="22" t="n">
        <v>25</v>
      </c>
      <c r="F34" s="32" t="n">
        <v>30000</v>
      </c>
      <c r="G34" s="20" t="s">
        <v>126</v>
      </c>
      <c r="H34" s="20" t="s">
        <v>168</v>
      </c>
      <c r="I34" s="20" t="s">
        <v>109</v>
      </c>
      <c r="J34" s="39" t="s">
        <v>784</v>
      </c>
      <c r="K34" s="20"/>
    </row>
    <row r="35" customFormat="false" ht="22.35" hidden="false" customHeight="false" outlineLevel="0" collapsed="false">
      <c r="A35" s="37" t="s">
        <v>283</v>
      </c>
      <c r="B35" s="20" t="s">
        <v>284</v>
      </c>
      <c r="C35" s="41" t="s">
        <v>48</v>
      </c>
      <c r="D35" s="20" t="s">
        <v>288</v>
      </c>
      <c r="E35" s="22" t="n">
        <v>5</v>
      </c>
      <c r="F35" s="22" t="s">
        <v>107</v>
      </c>
      <c r="G35" s="20" t="s">
        <v>238</v>
      </c>
      <c r="H35" s="20" t="s">
        <v>168</v>
      </c>
      <c r="I35" s="20" t="s">
        <v>146</v>
      </c>
      <c r="J35" s="39" t="s">
        <v>784</v>
      </c>
      <c r="K35" s="20"/>
    </row>
    <row r="36" customFormat="false" ht="22.35" hidden="false" customHeight="false" outlineLevel="0" collapsed="false">
      <c r="A36" s="37" t="s">
        <v>492</v>
      </c>
      <c r="B36" s="20" t="s">
        <v>493</v>
      </c>
      <c r="C36" s="40" t="s">
        <v>46</v>
      </c>
      <c r="D36" s="20" t="s">
        <v>497</v>
      </c>
      <c r="E36" s="22" t="n">
        <v>25</v>
      </c>
      <c r="F36" s="32" t="n">
        <v>40000</v>
      </c>
      <c r="G36" s="20" t="s">
        <v>238</v>
      </c>
      <c r="H36" s="20" t="s">
        <v>168</v>
      </c>
      <c r="I36" s="20" t="s">
        <v>119</v>
      </c>
      <c r="J36" s="39" t="s">
        <v>784</v>
      </c>
      <c r="K36" s="20"/>
    </row>
    <row r="37" customFormat="false" ht="32.8" hidden="false" customHeight="false" outlineLevel="0" collapsed="false">
      <c r="A37" s="37" t="s">
        <v>547</v>
      </c>
      <c r="B37" s="20" t="s">
        <v>548</v>
      </c>
      <c r="C37" s="41" t="s">
        <v>48</v>
      </c>
      <c r="D37" s="20" t="s">
        <v>552</v>
      </c>
      <c r="E37" s="22" t="n">
        <v>10</v>
      </c>
      <c r="F37" s="22" t="s">
        <v>107</v>
      </c>
      <c r="G37" s="20" t="s">
        <v>238</v>
      </c>
      <c r="H37" s="20" t="s">
        <v>168</v>
      </c>
      <c r="I37" s="20" t="s">
        <v>146</v>
      </c>
      <c r="J37" s="39" t="s">
        <v>784</v>
      </c>
      <c r="K37" s="20"/>
    </row>
    <row r="39" customFormat="false" ht="15" hidden="false" customHeight="false" outlineLevel="0" collapsed="false">
      <c r="A39" s="35" t="s">
        <v>787</v>
      </c>
      <c r="B39" s="36" t="s">
        <v>788</v>
      </c>
      <c r="C39" s="36"/>
      <c r="D39" s="36"/>
      <c r="E39" s="36"/>
      <c r="F39" s="36"/>
      <c r="G39" s="36"/>
      <c r="H39" s="36"/>
      <c r="I39" s="36"/>
      <c r="J39" s="36"/>
      <c r="K39" s="36"/>
    </row>
    <row r="40" customFormat="false" ht="32.8" hidden="false" customHeight="false" outlineLevel="0" collapsed="false">
      <c r="A40" s="37" t="s">
        <v>209</v>
      </c>
      <c r="B40" s="20" t="s">
        <v>210</v>
      </c>
      <c r="C40" s="40" t="s">
        <v>46</v>
      </c>
      <c r="D40" s="20" t="s">
        <v>214</v>
      </c>
      <c r="E40" s="22" t="n">
        <v>8</v>
      </c>
      <c r="F40" s="22" t="s">
        <v>107</v>
      </c>
      <c r="G40" s="20" t="s">
        <v>107</v>
      </c>
      <c r="H40" s="20" t="s">
        <v>215</v>
      </c>
      <c r="I40" s="20" t="s">
        <v>119</v>
      </c>
      <c r="J40" s="39" t="s">
        <v>784</v>
      </c>
      <c r="K40" s="20"/>
    </row>
    <row r="41" customFormat="false" ht="32.8" hidden="false" customHeight="false" outlineLevel="0" collapsed="false">
      <c r="A41" s="37" t="s">
        <v>217</v>
      </c>
      <c r="B41" s="20" t="s">
        <v>218</v>
      </c>
      <c r="C41" s="40" t="s">
        <v>46</v>
      </c>
      <c r="D41" s="20" t="s">
        <v>223</v>
      </c>
      <c r="E41" s="22" t="n">
        <v>15</v>
      </c>
      <c r="F41" s="32" t="n">
        <v>25000</v>
      </c>
      <c r="G41" s="20" t="s">
        <v>209</v>
      </c>
      <c r="H41" s="20" t="s">
        <v>215</v>
      </c>
      <c r="I41" s="20" t="s">
        <v>119</v>
      </c>
      <c r="J41" s="39" t="s">
        <v>784</v>
      </c>
      <c r="K41" s="20"/>
    </row>
    <row r="42" customFormat="false" ht="32.8" hidden="false" customHeight="false" outlineLevel="0" collapsed="false">
      <c r="A42" s="37" t="s">
        <v>225</v>
      </c>
      <c r="B42" s="20" t="s">
        <v>226</v>
      </c>
      <c r="C42" s="40" t="s">
        <v>46</v>
      </c>
      <c r="D42" s="20" t="s">
        <v>230</v>
      </c>
      <c r="E42" s="22" t="n">
        <v>15</v>
      </c>
      <c r="F42" s="22" t="s">
        <v>107</v>
      </c>
      <c r="G42" s="20" t="s">
        <v>209</v>
      </c>
      <c r="H42" s="20" t="s">
        <v>215</v>
      </c>
      <c r="I42" s="20" t="s">
        <v>119</v>
      </c>
      <c r="J42" s="39" t="s">
        <v>784</v>
      </c>
      <c r="K42" s="20"/>
    </row>
    <row r="43" customFormat="false" ht="32.8" hidden="false" customHeight="false" outlineLevel="0" collapsed="false">
      <c r="A43" s="37" t="s">
        <v>231</v>
      </c>
      <c r="B43" s="20" t="s">
        <v>232</v>
      </c>
      <c r="C43" s="40" t="s">
        <v>46</v>
      </c>
      <c r="D43" s="20" t="s">
        <v>237</v>
      </c>
      <c r="E43" s="22" t="n">
        <v>35</v>
      </c>
      <c r="F43" s="22" t="s">
        <v>107</v>
      </c>
      <c r="G43" s="20" t="s">
        <v>209</v>
      </c>
      <c r="H43" s="20" t="s">
        <v>215</v>
      </c>
      <c r="I43" s="20" t="s">
        <v>119</v>
      </c>
      <c r="J43" s="39" t="s">
        <v>784</v>
      </c>
      <c r="K43" s="20"/>
    </row>
    <row r="45" customFormat="false" ht="15" hidden="false" customHeight="false" outlineLevel="0" collapsed="false">
      <c r="A45" s="35" t="s">
        <v>789</v>
      </c>
      <c r="B45" s="36" t="s">
        <v>790</v>
      </c>
      <c r="C45" s="36"/>
      <c r="D45" s="36"/>
      <c r="E45" s="36"/>
      <c r="F45" s="36"/>
      <c r="G45" s="36"/>
      <c r="H45" s="36"/>
      <c r="I45" s="36"/>
      <c r="J45" s="36"/>
      <c r="K45" s="36"/>
    </row>
    <row r="46" customFormat="false" ht="32.8" hidden="false" customHeight="false" outlineLevel="0" collapsed="false">
      <c r="A46" s="37" t="s">
        <v>182</v>
      </c>
      <c r="B46" s="20" t="s">
        <v>183</v>
      </c>
      <c r="C46" s="41" t="s">
        <v>48</v>
      </c>
      <c r="D46" s="20" t="s">
        <v>188</v>
      </c>
      <c r="E46" s="22" t="n">
        <v>12</v>
      </c>
      <c r="F46" s="22" t="s">
        <v>107</v>
      </c>
      <c r="G46" s="20" t="s">
        <v>126</v>
      </c>
      <c r="H46" s="20" t="s">
        <v>168</v>
      </c>
      <c r="I46" s="20" t="s">
        <v>146</v>
      </c>
      <c r="J46" s="39" t="s">
        <v>784</v>
      </c>
      <c r="K46" s="20"/>
    </row>
    <row r="47" customFormat="false" ht="32.8" hidden="false" customHeight="false" outlineLevel="0" collapsed="false">
      <c r="A47" s="37" t="s">
        <v>289</v>
      </c>
      <c r="B47" s="20" t="s">
        <v>290</v>
      </c>
      <c r="C47" s="40" t="s">
        <v>46</v>
      </c>
      <c r="D47" s="20" t="s">
        <v>295</v>
      </c>
      <c r="E47" s="22" t="n">
        <v>25</v>
      </c>
      <c r="F47" s="22" t="s">
        <v>107</v>
      </c>
      <c r="G47" s="20" t="s">
        <v>126</v>
      </c>
      <c r="H47" s="20" t="s">
        <v>168</v>
      </c>
      <c r="I47" s="20" t="s">
        <v>119</v>
      </c>
      <c r="J47" s="39" t="s">
        <v>784</v>
      </c>
      <c r="K47" s="20"/>
    </row>
    <row r="48" customFormat="false" ht="22.35" hidden="false" customHeight="false" outlineLevel="0" collapsed="false">
      <c r="A48" s="37" t="s">
        <v>297</v>
      </c>
      <c r="B48" s="20" t="s">
        <v>298</v>
      </c>
      <c r="C48" s="40" t="s">
        <v>46</v>
      </c>
      <c r="D48" s="20" t="s">
        <v>302</v>
      </c>
      <c r="E48" s="22" t="n">
        <v>8</v>
      </c>
      <c r="F48" s="22" t="s">
        <v>107</v>
      </c>
      <c r="G48" s="20" t="s">
        <v>289</v>
      </c>
      <c r="H48" s="20" t="s">
        <v>168</v>
      </c>
      <c r="I48" s="20" t="s">
        <v>119</v>
      </c>
      <c r="J48" s="39" t="s">
        <v>784</v>
      </c>
      <c r="K48" s="20"/>
    </row>
    <row r="49" customFormat="false" ht="22.35" hidden="false" customHeight="false" outlineLevel="0" collapsed="false">
      <c r="A49" s="37" t="s">
        <v>476</v>
      </c>
      <c r="B49" s="20" t="s">
        <v>477</v>
      </c>
      <c r="C49" s="40" t="s">
        <v>46</v>
      </c>
      <c r="D49" s="20" t="s">
        <v>481</v>
      </c>
      <c r="E49" s="22" t="n">
        <v>20</v>
      </c>
      <c r="F49" s="22" t="s">
        <v>107</v>
      </c>
      <c r="G49" s="20" t="s">
        <v>289</v>
      </c>
      <c r="H49" s="20" t="s">
        <v>168</v>
      </c>
      <c r="I49" s="20" t="s">
        <v>119</v>
      </c>
      <c r="J49" s="39" t="s">
        <v>784</v>
      </c>
      <c r="K49" s="20"/>
    </row>
    <row r="50" customFormat="false" ht="32.8" hidden="false" customHeight="false" outlineLevel="0" collapsed="false">
      <c r="A50" s="37" t="s">
        <v>482</v>
      </c>
      <c r="B50" s="20" t="s">
        <v>483</v>
      </c>
      <c r="C50" s="40" t="s">
        <v>46</v>
      </c>
      <c r="D50" s="20" t="s">
        <v>488</v>
      </c>
      <c r="E50" s="22" t="n">
        <v>15</v>
      </c>
      <c r="F50" s="22" t="s">
        <v>107</v>
      </c>
      <c r="G50" s="20" t="s">
        <v>489</v>
      </c>
      <c r="H50" s="20" t="s">
        <v>168</v>
      </c>
      <c r="I50" s="20" t="s">
        <v>119</v>
      </c>
      <c r="J50" s="39" t="s">
        <v>784</v>
      </c>
      <c r="K50" s="20"/>
    </row>
    <row r="51" customFormat="false" ht="32.8" hidden="false" customHeight="false" outlineLevel="0" collapsed="false">
      <c r="A51" s="37" t="s">
        <v>489</v>
      </c>
      <c r="B51" s="20" t="s">
        <v>606</v>
      </c>
      <c r="C51" s="40" t="s">
        <v>46</v>
      </c>
      <c r="D51" s="20" t="s">
        <v>610</v>
      </c>
      <c r="E51" s="22" t="n">
        <v>12</v>
      </c>
      <c r="F51" s="22" t="s">
        <v>107</v>
      </c>
      <c r="G51" s="20" t="s">
        <v>482</v>
      </c>
      <c r="H51" s="20" t="s">
        <v>168</v>
      </c>
      <c r="I51" s="20" t="s">
        <v>119</v>
      </c>
      <c r="J51" s="39" t="s">
        <v>784</v>
      </c>
      <c r="K51" s="20"/>
    </row>
    <row r="53" customFormat="false" ht="15" hidden="false" customHeight="false" outlineLevel="0" collapsed="false">
      <c r="A53" s="35" t="s">
        <v>791</v>
      </c>
      <c r="B53" s="36" t="s">
        <v>792</v>
      </c>
      <c r="C53" s="36"/>
      <c r="D53" s="36"/>
      <c r="E53" s="36"/>
      <c r="F53" s="36"/>
      <c r="G53" s="36"/>
      <c r="H53" s="36"/>
      <c r="I53" s="36"/>
      <c r="J53" s="36"/>
      <c r="K53" s="36"/>
    </row>
    <row r="54" customFormat="false" ht="32.8" hidden="false" customHeight="false" outlineLevel="0" collapsed="false">
      <c r="A54" s="37" t="s">
        <v>139</v>
      </c>
      <c r="B54" s="20" t="s">
        <v>140</v>
      </c>
      <c r="C54" s="41" t="s">
        <v>48</v>
      </c>
      <c r="D54" s="20" t="s">
        <v>144</v>
      </c>
      <c r="E54" s="22" t="n">
        <v>2</v>
      </c>
      <c r="F54" s="32" t="n">
        <v>8000</v>
      </c>
      <c r="G54" s="20" t="s">
        <v>107</v>
      </c>
      <c r="H54" s="20" t="s">
        <v>145</v>
      </c>
      <c r="I54" s="20" t="s">
        <v>146</v>
      </c>
      <c r="J54" s="39" t="s">
        <v>784</v>
      </c>
      <c r="K54" s="20"/>
    </row>
    <row r="55" customFormat="false" ht="43.25" hidden="false" customHeight="false" outlineLevel="0" collapsed="false">
      <c r="A55" s="37" t="s">
        <v>147</v>
      </c>
      <c r="B55" s="20" t="s">
        <v>148</v>
      </c>
      <c r="C55" s="40" t="s">
        <v>46</v>
      </c>
      <c r="D55" s="20" t="s">
        <v>153</v>
      </c>
      <c r="E55" s="22" t="n">
        <v>20</v>
      </c>
      <c r="F55" s="32" t="n">
        <v>60000</v>
      </c>
      <c r="G55" s="20" t="s">
        <v>107</v>
      </c>
      <c r="H55" s="20" t="s">
        <v>145</v>
      </c>
      <c r="I55" s="20" t="s">
        <v>119</v>
      </c>
      <c r="J55" s="39" t="s">
        <v>784</v>
      </c>
      <c r="K55" s="20"/>
    </row>
    <row r="56" customFormat="false" ht="32.8" hidden="false" customHeight="false" outlineLevel="0" collapsed="false">
      <c r="A56" s="37" t="s">
        <v>507</v>
      </c>
      <c r="B56" s="20" t="s">
        <v>508</v>
      </c>
      <c r="C56" s="40" t="s">
        <v>46</v>
      </c>
      <c r="D56" s="20" t="s">
        <v>513</v>
      </c>
      <c r="E56" s="22" t="n">
        <v>25</v>
      </c>
      <c r="F56" s="22" t="s">
        <v>107</v>
      </c>
      <c r="G56" s="20" t="s">
        <v>107</v>
      </c>
      <c r="H56" s="20" t="s">
        <v>145</v>
      </c>
      <c r="I56" s="20" t="s">
        <v>119</v>
      </c>
      <c r="J56" s="39" t="s">
        <v>784</v>
      </c>
      <c r="K56" s="20"/>
    </row>
    <row r="57" customFormat="false" ht="32.8" hidden="false" customHeight="false" outlineLevel="0" collapsed="false">
      <c r="A57" s="37" t="s">
        <v>515</v>
      </c>
      <c r="B57" s="20" t="s">
        <v>516</v>
      </c>
      <c r="C57" s="40" t="s">
        <v>46</v>
      </c>
      <c r="D57" s="20" t="s">
        <v>520</v>
      </c>
      <c r="E57" s="22" t="n">
        <v>35</v>
      </c>
      <c r="F57" s="22" t="s">
        <v>107</v>
      </c>
      <c r="G57" s="20" t="s">
        <v>507</v>
      </c>
      <c r="H57" s="20" t="s">
        <v>145</v>
      </c>
      <c r="I57" s="20" t="s">
        <v>119</v>
      </c>
      <c r="J57" s="39" t="s">
        <v>784</v>
      </c>
      <c r="K57" s="20"/>
    </row>
    <row r="59" customFormat="false" ht="15" hidden="false" customHeight="false" outlineLevel="0" collapsed="false">
      <c r="A59" s="35" t="s">
        <v>793</v>
      </c>
      <c r="B59" s="36" t="s">
        <v>794</v>
      </c>
      <c r="C59" s="36"/>
      <c r="D59" s="36"/>
      <c r="E59" s="36"/>
      <c r="F59" s="36"/>
      <c r="G59" s="36"/>
      <c r="H59" s="36"/>
      <c r="I59" s="36"/>
      <c r="J59" s="36"/>
      <c r="K59" s="36"/>
    </row>
    <row r="60" customFormat="false" ht="32.8" hidden="false" customHeight="false" outlineLevel="0" collapsed="false">
      <c r="A60" s="37" t="s">
        <v>468</v>
      </c>
      <c r="B60" s="20" t="s">
        <v>469</v>
      </c>
      <c r="C60" s="40" t="s">
        <v>46</v>
      </c>
      <c r="D60" s="20" t="s">
        <v>474</v>
      </c>
      <c r="E60" s="22" t="n">
        <v>60</v>
      </c>
      <c r="F60" s="22" t="s">
        <v>107</v>
      </c>
      <c r="G60" s="20" t="s">
        <v>107</v>
      </c>
      <c r="H60" s="20" t="s">
        <v>244</v>
      </c>
      <c r="I60" s="20" t="s">
        <v>119</v>
      </c>
      <c r="J60" s="39" t="s">
        <v>784</v>
      </c>
      <c r="K60" s="20"/>
    </row>
    <row r="61" customFormat="false" ht="22.35" hidden="false" customHeight="false" outlineLevel="0" collapsed="false">
      <c r="A61" s="37" t="s">
        <v>529</v>
      </c>
      <c r="B61" s="20" t="s">
        <v>530</v>
      </c>
      <c r="C61" s="41" t="s">
        <v>48</v>
      </c>
      <c r="D61" s="20" t="s">
        <v>534</v>
      </c>
      <c r="E61" s="22" t="n">
        <v>10</v>
      </c>
      <c r="F61" s="22" t="s">
        <v>107</v>
      </c>
      <c r="G61" s="20" t="s">
        <v>468</v>
      </c>
      <c r="H61" s="20" t="s">
        <v>244</v>
      </c>
      <c r="I61" s="20" t="s">
        <v>146</v>
      </c>
      <c r="J61" s="39" t="s">
        <v>784</v>
      </c>
      <c r="K61" s="20"/>
    </row>
    <row r="62" customFormat="false" ht="32.8" hidden="false" customHeight="false" outlineLevel="0" collapsed="false">
      <c r="A62" s="37" t="s">
        <v>553</v>
      </c>
      <c r="B62" s="20" t="s">
        <v>554</v>
      </c>
      <c r="C62" s="40" t="s">
        <v>46</v>
      </c>
      <c r="D62" s="20" t="s">
        <v>559</v>
      </c>
      <c r="E62" s="22" t="n">
        <v>25</v>
      </c>
      <c r="F62" s="22" t="s">
        <v>107</v>
      </c>
      <c r="G62" s="20" t="s">
        <v>126</v>
      </c>
      <c r="H62" s="20" t="s">
        <v>244</v>
      </c>
      <c r="I62" s="20" t="s">
        <v>119</v>
      </c>
      <c r="J62" s="39" t="s">
        <v>784</v>
      </c>
      <c r="K62" s="20"/>
    </row>
    <row r="63" customFormat="false" ht="32.8" hidden="false" customHeight="false" outlineLevel="0" collapsed="false">
      <c r="A63" s="37" t="s">
        <v>599</v>
      </c>
      <c r="B63" s="20" t="s">
        <v>600</v>
      </c>
      <c r="C63" s="40" t="s">
        <v>46</v>
      </c>
      <c r="D63" s="20" t="s">
        <v>605</v>
      </c>
      <c r="E63" s="22" t="n">
        <v>15</v>
      </c>
      <c r="F63" s="22" t="s">
        <v>107</v>
      </c>
      <c r="G63" s="20" t="s">
        <v>468</v>
      </c>
      <c r="H63" s="20" t="s">
        <v>244</v>
      </c>
      <c r="I63" s="20" t="s">
        <v>119</v>
      </c>
      <c r="J63" s="39" t="s">
        <v>784</v>
      </c>
      <c r="K63" s="20"/>
    </row>
    <row r="64" customFormat="false" ht="22.35" hidden="false" customHeight="false" outlineLevel="0" collapsed="false">
      <c r="A64" s="37" t="s">
        <v>454</v>
      </c>
      <c r="B64" s="20" t="s">
        <v>455</v>
      </c>
      <c r="C64" s="42" t="s">
        <v>50</v>
      </c>
      <c r="D64" s="20" t="s">
        <v>459</v>
      </c>
      <c r="E64" s="22" t="n">
        <v>8</v>
      </c>
      <c r="F64" s="22" t="s">
        <v>107</v>
      </c>
      <c r="G64" s="20" t="s">
        <v>107</v>
      </c>
      <c r="H64" s="20" t="s">
        <v>244</v>
      </c>
      <c r="I64" s="20" t="s">
        <v>425</v>
      </c>
      <c r="J64" s="39" t="s">
        <v>784</v>
      </c>
      <c r="K64" s="20"/>
    </row>
    <row r="65" customFormat="false" ht="22.35" hidden="false" customHeight="false" outlineLevel="0" collapsed="false">
      <c r="A65" s="37" t="s">
        <v>320</v>
      </c>
      <c r="B65" s="20" t="s">
        <v>321</v>
      </c>
      <c r="C65" s="41" t="s">
        <v>48</v>
      </c>
      <c r="D65" s="20" t="s">
        <v>325</v>
      </c>
      <c r="E65" s="22" t="n">
        <v>18</v>
      </c>
      <c r="F65" s="22" t="s">
        <v>107</v>
      </c>
      <c r="G65" s="20" t="s">
        <v>312</v>
      </c>
      <c r="H65" s="20" t="s">
        <v>244</v>
      </c>
      <c r="I65" s="20" t="s">
        <v>146</v>
      </c>
      <c r="J65" s="39" t="s">
        <v>784</v>
      </c>
      <c r="K65" s="20"/>
    </row>
    <row r="67" customFormat="false" ht="15" hidden="false" customHeight="false" outlineLevel="0" collapsed="false">
      <c r="A67" s="35" t="s">
        <v>795</v>
      </c>
      <c r="B67" s="36" t="s">
        <v>796</v>
      </c>
      <c r="C67" s="36"/>
      <c r="D67" s="36"/>
      <c r="E67" s="36"/>
      <c r="F67" s="36"/>
      <c r="G67" s="36"/>
      <c r="H67" s="36"/>
      <c r="I67" s="36"/>
      <c r="J67" s="36"/>
      <c r="K67" s="36"/>
    </row>
    <row r="68" customFormat="false" ht="22.35" hidden="false" customHeight="false" outlineLevel="0" collapsed="false">
      <c r="A68" s="37" t="s">
        <v>155</v>
      </c>
      <c r="B68" s="20" t="s">
        <v>156</v>
      </c>
      <c r="C68" s="40" t="s">
        <v>46</v>
      </c>
      <c r="D68" s="20" t="s">
        <v>160</v>
      </c>
      <c r="E68" s="22" t="n">
        <v>10</v>
      </c>
      <c r="F68" s="22" t="s">
        <v>107</v>
      </c>
      <c r="G68" s="20" t="s">
        <v>117</v>
      </c>
      <c r="H68" s="20" t="s">
        <v>161</v>
      </c>
      <c r="I68" s="20" t="s">
        <v>119</v>
      </c>
      <c r="J68" s="39" t="s">
        <v>784</v>
      </c>
      <c r="K68" s="20"/>
    </row>
    <row r="69" customFormat="false" ht="32.8" hidden="false" customHeight="false" outlineLevel="0" collapsed="false">
      <c r="A69" s="37" t="s">
        <v>561</v>
      </c>
      <c r="B69" s="20" t="s">
        <v>562</v>
      </c>
      <c r="C69" s="40" t="s">
        <v>46</v>
      </c>
      <c r="D69" s="20" t="s">
        <v>567</v>
      </c>
      <c r="E69" s="22" t="n">
        <v>25</v>
      </c>
      <c r="F69" s="32" t="n">
        <v>20000</v>
      </c>
      <c r="G69" s="20" t="s">
        <v>568</v>
      </c>
      <c r="H69" s="20" t="s">
        <v>161</v>
      </c>
      <c r="I69" s="20" t="s">
        <v>119</v>
      </c>
      <c r="J69" s="39" t="s">
        <v>784</v>
      </c>
      <c r="K69" s="20"/>
    </row>
    <row r="70" customFormat="false" ht="22.35" hidden="false" customHeight="false" outlineLevel="0" collapsed="false">
      <c r="A70" s="37" t="s">
        <v>569</v>
      </c>
      <c r="B70" s="20" t="s">
        <v>570</v>
      </c>
      <c r="C70" s="41" t="s">
        <v>48</v>
      </c>
      <c r="D70" s="20" t="s">
        <v>574</v>
      </c>
      <c r="E70" s="22" t="n">
        <v>10</v>
      </c>
      <c r="F70" s="22" t="s">
        <v>107</v>
      </c>
      <c r="G70" s="20" t="s">
        <v>561</v>
      </c>
      <c r="H70" s="20" t="s">
        <v>161</v>
      </c>
      <c r="I70" s="20" t="s">
        <v>146</v>
      </c>
      <c r="J70" s="39" t="s">
        <v>784</v>
      </c>
      <c r="K70" s="20"/>
    </row>
    <row r="71" customFormat="false" ht="22.35" hidden="false" customHeight="false" outlineLevel="0" collapsed="false">
      <c r="A71" s="37" t="s">
        <v>568</v>
      </c>
      <c r="B71" s="20" t="s">
        <v>575</v>
      </c>
      <c r="C71" s="40" t="s">
        <v>46</v>
      </c>
      <c r="D71" s="20" t="s">
        <v>580</v>
      </c>
      <c r="E71" s="22" t="n">
        <v>15</v>
      </c>
      <c r="F71" s="22" t="s">
        <v>107</v>
      </c>
      <c r="G71" s="20" t="s">
        <v>107</v>
      </c>
      <c r="H71" s="20" t="s">
        <v>161</v>
      </c>
      <c r="I71" s="20" t="s">
        <v>119</v>
      </c>
      <c r="J71" s="39" t="s">
        <v>784</v>
      </c>
      <c r="K71" s="20"/>
    </row>
    <row r="73" customFormat="false" ht="15" hidden="false" customHeight="false" outlineLevel="0" collapsed="false">
      <c r="A73" s="35" t="s">
        <v>797</v>
      </c>
      <c r="B73" s="36" t="s">
        <v>798</v>
      </c>
      <c r="C73" s="36"/>
      <c r="D73" s="36"/>
      <c r="E73" s="36"/>
      <c r="F73" s="36"/>
      <c r="G73" s="36"/>
      <c r="H73" s="36"/>
      <c r="I73" s="36"/>
      <c r="J73" s="36"/>
      <c r="K73" s="36"/>
    </row>
    <row r="74" customFormat="false" ht="32.8" hidden="false" customHeight="false" outlineLevel="0" collapsed="false">
      <c r="A74" s="37" t="s">
        <v>265</v>
      </c>
      <c r="B74" s="20" t="s">
        <v>266</v>
      </c>
      <c r="C74" s="40" t="s">
        <v>46</v>
      </c>
      <c r="D74" s="20" t="s">
        <v>270</v>
      </c>
      <c r="E74" s="22" t="n">
        <v>10</v>
      </c>
      <c r="F74" s="22" t="s">
        <v>107</v>
      </c>
      <c r="G74" s="20" t="s">
        <v>271</v>
      </c>
      <c r="H74" s="20" t="s">
        <v>244</v>
      </c>
      <c r="I74" s="20" t="s">
        <v>119</v>
      </c>
      <c r="J74" s="39" t="s">
        <v>784</v>
      </c>
      <c r="K74" s="20"/>
    </row>
    <row r="75" customFormat="false" ht="22.35" hidden="false" customHeight="false" outlineLevel="0" collapsed="false">
      <c r="A75" s="37" t="s">
        <v>271</v>
      </c>
      <c r="B75" s="20" t="s">
        <v>273</v>
      </c>
      <c r="C75" s="40" t="s">
        <v>46</v>
      </c>
      <c r="D75" s="20" t="s">
        <v>277</v>
      </c>
      <c r="E75" s="22" t="n">
        <v>20</v>
      </c>
      <c r="F75" s="22" t="s">
        <v>107</v>
      </c>
      <c r="G75" s="20" t="s">
        <v>278</v>
      </c>
      <c r="H75" s="20" t="s">
        <v>244</v>
      </c>
      <c r="I75" s="20" t="s">
        <v>119</v>
      </c>
      <c r="J75" s="39" t="s">
        <v>784</v>
      </c>
      <c r="K75" s="20"/>
    </row>
    <row r="76" customFormat="false" ht="22.35" hidden="false" customHeight="false" outlineLevel="0" collapsed="false">
      <c r="A76" s="37" t="s">
        <v>278</v>
      </c>
      <c r="B76" s="20" t="s">
        <v>502</v>
      </c>
      <c r="C76" s="40" t="s">
        <v>46</v>
      </c>
      <c r="D76" s="20" t="s">
        <v>506</v>
      </c>
      <c r="E76" s="22" t="n">
        <v>20</v>
      </c>
      <c r="F76" s="22" t="s">
        <v>107</v>
      </c>
      <c r="G76" s="20" t="s">
        <v>107</v>
      </c>
      <c r="H76" s="20" t="s">
        <v>244</v>
      </c>
      <c r="I76" s="20" t="s">
        <v>119</v>
      </c>
      <c r="J76" s="39" t="s">
        <v>784</v>
      </c>
      <c r="K76" s="20"/>
    </row>
    <row r="78" customFormat="false" ht="15" hidden="false" customHeight="false" outlineLevel="0" collapsed="false">
      <c r="A78" s="35" t="s">
        <v>799</v>
      </c>
      <c r="B78" s="36" t="s">
        <v>800</v>
      </c>
      <c r="C78" s="36"/>
      <c r="D78" s="36"/>
      <c r="E78" s="36"/>
      <c r="F78" s="36"/>
      <c r="G78" s="36"/>
      <c r="H78" s="36"/>
      <c r="I78" s="36"/>
      <c r="J78" s="36"/>
      <c r="K78" s="36"/>
    </row>
    <row r="79" customFormat="false" ht="32.8" hidden="false" customHeight="false" outlineLevel="0" collapsed="false">
      <c r="A79" s="37" t="s">
        <v>334</v>
      </c>
      <c r="B79" s="20" t="s">
        <v>335</v>
      </c>
      <c r="C79" s="40" t="s">
        <v>46</v>
      </c>
      <c r="D79" s="20" t="s">
        <v>340</v>
      </c>
      <c r="E79" s="22" t="n">
        <v>30</v>
      </c>
      <c r="F79" s="32" t="n">
        <v>45000</v>
      </c>
      <c r="G79" s="20" t="s">
        <v>107</v>
      </c>
      <c r="H79" s="20" t="s">
        <v>108</v>
      </c>
      <c r="I79" s="20" t="s">
        <v>119</v>
      </c>
      <c r="J79" s="39" t="s">
        <v>784</v>
      </c>
      <c r="K79" s="20"/>
    </row>
    <row r="80" customFormat="false" ht="22.35" hidden="false" customHeight="false" outlineLevel="0" collapsed="false">
      <c r="A80" s="37" t="s">
        <v>707</v>
      </c>
      <c r="B80" s="20" t="s">
        <v>708</v>
      </c>
      <c r="C80" s="40" t="s">
        <v>46</v>
      </c>
      <c r="D80" s="20" t="s">
        <v>712</v>
      </c>
      <c r="E80" s="22" t="n">
        <v>8</v>
      </c>
      <c r="F80" s="22" t="s">
        <v>107</v>
      </c>
      <c r="G80" s="20" t="s">
        <v>334</v>
      </c>
      <c r="H80" s="20" t="s">
        <v>108</v>
      </c>
      <c r="I80" s="20" t="s">
        <v>119</v>
      </c>
      <c r="J80" s="39" t="s">
        <v>784</v>
      </c>
      <c r="K80" s="20"/>
    </row>
    <row r="81" customFormat="false" ht="22.35" hidden="false" customHeight="false" outlineLevel="0" collapsed="false">
      <c r="A81" s="37" t="s">
        <v>350</v>
      </c>
      <c r="B81" s="20" t="s">
        <v>351</v>
      </c>
      <c r="C81" s="41" t="s">
        <v>48</v>
      </c>
      <c r="D81" s="20" t="s">
        <v>355</v>
      </c>
      <c r="E81" s="22" t="n">
        <v>8</v>
      </c>
      <c r="F81" s="22" t="s">
        <v>107</v>
      </c>
      <c r="G81" s="20" t="s">
        <v>107</v>
      </c>
      <c r="H81" s="20" t="s">
        <v>108</v>
      </c>
      <c r="I81" s="20" t="s">
        <v>146</v>
      </c>
      <c r="J81" s="39" t="s">
        <v>784</v>
      </c>
      <c r="K81" s="20"/>
    </row>
    <row r="82" customFormat="false" ht="32.8" hidden="false" customHeight="false" outlineLevel="0" collapsed="false">
      <c r="A82" s="37" t="s">
        <v>120</v>
      </c>
      <c r="B82" s="20" t="s">
        <v>121</v>
      </c>
      <c r="C82" s="40" t="s">
        <v>46</v>
      </c>
      <c r="D82" s="20" t="s">
        <v>125</v>
      </c>
      <c r="E82" s="22" t="n">
        <v>12</v>
      </c>
      <c r="F82" s="22" t="s">
        <v>107</v>
      </c>
      <c r="G82" s="20" t="s">
        <v>126</v>
      </c>
      <c r="H82" s="20" t="s">
        <v>108</v>
      </c>
      <c r="I82" s="20" t="s">
        <v>119</v>
      </c>
      <c r="J82" s="39" t="s">
        <v>784</v>
      </c>
      <c r="K82" s="20"/>
    </row>
    <row r="84" customFormat="false" ht="15" hidden="false" customHeight="false" outlineLevel="0" collapsed="false">
      <c r="A84" s="35" t="s">
        <v>801</v>
      </c>
      <c r="B84" s="36" t="s">
        <v>802</v>
      </c>
      <c r="C84" s="36"/>
      <c r="D84" s="36"/>
      <c r="E84" s="36"/>
      <c r="F84" s="36"/>
      <c r="G84" s="36"/>
      <c r="H84" s="36"/>
      <c r="I84" s="36"/>
      <c r="J84" s="36"/>
      <c r="K84" s="36"/>
    </row>
    <row r="85" customFormat="false" ht="32.8" hidden="false" customHeight="false" outlineLevel="0" collapsed="false">
      <c r="A85" s="37" t="s">
        <v>364</v>
      </c>
      <c r="B85" s="20" t="s">
        <v>365</v>
      </c>
      <c r="C85" s="41" t="s">
        <v>48</v>
      </c>
      <c r="D85" s="20" t="s">
        <v>369</v>
      </c>
      <c r="E85" s="22" t="n">
        <v>5</v>
      </c>
      <c r="F85" s="22" t="s">
        <v>107</v>
      </c>
      <c r="G85" s="20" t="s">
        <v>370</v>
      </c>
      <c r="H85" s="20" t="s">
        <v>371</v>
      </c>
      <c r="I85" s="20" t="s">
        <v>146</v>
      </c>
      <c r="J85" s="39" t="s">
        <v>784</v>
      </c>
      <c r="K85" s="20"/>
    </row>
    <row r="86" customFormat="false" ht="32.8" hidden="false" customHeight="false" outlineLevel="0" collapsed="false">
      <c r="A86" s="37" t="s">
        <v>370</v>
      </c>
      <c r="B86" s="20" t="s">
        <v>373</v>
      </c>
      <c r="C86" s="40" t="s">
        <v>46</v>
      </c>
      <c r="D86" s="20" t="s">
        <v>377</v>
      </c>
      <c r="E86" s="22" t="n">
        <v>12</v>
      </c>
      <c r="F86" s="32" t="n">
        <v>35000</v>
      </c>
      <c r="G86" s="20" t="s">
        <v>107</v>
      </c>
      <c r="H86" s="20" t="s">
        <v>371</v>
      </c>
      <c r="I86" s="20" t="s">
        <v>119</v>
      </c>
      <c r="J86" s="39" t="s">
        <v>784</v>
      </c>
      <c r="K86" s="20"/>
    </row>
    <row r="87" customFormat="false" ht="22.35" hidden="false" customHeight="false" outlineLevel="0" collapsed="false">
      <c r="A87" s="37" t="s">
        <v>382</v>
      </c>
      <c r="B87" s="20" t="s">
        <v>383</v>
      </c>
      <c r="C87" s="41" t="s">
        <v>48</v>
      </c>
      <c r="D87" s="20" t="s">
        <v>387</v>
      </c>
      <c r="E87" s="22" t="n">
        <v>6</v>
      </c>
      <c r="F87" s="32" t="n">
        <v>18000</v>
      </c>
      <c r="G87" s="20" t="s">
        <v>370</v>
      </c>
      <c r="H87" s="20" t="s">
        <v>371</v>
      </c>
      <c r="I87" s="20" t="s">
        <v>146</v>
      </c>
      <c r="J87" s="39" t="s">
        <v>784</v>
      </c>
      <c r="K87" s="20"/>
    </row>
    <row r="88" customFormat="false" ht="32.8" hidden="false" customHeight="false" outlineLevel="0" collapsed="false">
      <c r="A88" s="37" t="s">
        <v>396</v>
      </c>
      <c r="B88" s="20" t="s">
        <v>397</v>
      </c>
      <c r="C88" s="41" t="s">
        <v>48</v>
      </c>
      <c r="D88" s="20" t="s">
        <v>402</v>
      </c>
      <c r="E88" s="22" t="n">
        <v>4</v>
      </c>
      <c r="F88" s="22" t="s">
        <v>107</v>
      </c>
      <c r="G88" s="20" t="s">
        <v>107</v>
      </c>
      <c r="H88" s="20" t="s">
        <v>371</v>
      </c>
      <c r="I88" s="20" t="s">
        <v>146</v>
      </c>
      <c r="J88" s="39" t="s">
        <v>784</v>
      </c>
      <c r="K88" s="20"/>
    </row>
    <row r="89" customFormat="false" ht="22.35" hidden="false" customHeight="false" outlineLevel="0" collapsed="false">
      <c r="A89" s="37" t="s">
        <v>419</v>
      </c>
      <c r="B89" s="20" t="s">
        <v>420</v>
      </c>
      <c r="C89" s="42" t="s">
        <v>50</v>
      </c>
      <c r="D89" s="20" t="s">
        <v>424</v>
      </c>
      <c r="E89" s="22" t="n">
        <v>2</v>
      </c>
      <c r="F89" s="22" t="s">
        <v>107</v>
      </c>
      <c r="G89" s="20" t="s">
        <v>370</v>
      </c>
      <c r="H89" s="20" t="s">
        <v>371</v>
      </c>
      <c r="I89" s="20" t="s">
        <v>425</v>
      </c>
      <c r="J89" s="39" t="s">
        <v>784</v>
      </c>
      <c r="K89" s="20"/>
    </row>
    <row r="91" customFormat="false" ht="15" hidden="false" customHeight="false" outlineLevel="0" collapsed="false">
      <c r="A91" s="35" t="s">
        <v>803</v>
      </c>
      <c r="B91" s="36" t="s">
        <v>804</v>
      </c>
      <c r="C91" s="36"/>
      <c r="D91" s="36"/>
      <c r="E91" s="36"/>
      <c r="F91" s="36"/>
      <c r="G91" s="36"/>
      <c r="H91" s="36"/>
      <c r="I91" s="36"/>
      <c r="J91" s="36"/>
      <c r="K91" s="36"/>
    </row>
    <row r="92" customFormat="false" ht="22.35" hidden="false" customHeight="false" outlineLevel="0" collapsed="false">
      <c r="A92" s="37" t="s">
        <v>304</v>
      </c>
      <c r="B92" s="20" t="s">
        <v>305</v>
      </c>
      <c r="C92" s="40" t="s">
        <v>46</v>
      </c>
      <c r="D92" s="20" t="s">
        <v>309</v>
      </c>
      <c r="E92" s="22" t="n">
        <v>5</v>
      </c>
      <c r="F92" s="22" t="s">
        <v>107</v>
      </c>
      <c r="G92" s="20" t="s">
        <v>310</v>
      </c>
      <c r="H92" s="20" t="s">
        <v>311</v>
      </c>
      <c r="I92" s="20" t="s">
        <v>119</v>
      </c>
      <c r="J92" s="39" t="s">
        <v>784</v>
      </c>
      <c r="K92" s="20"/>
    </row>
    <row r="93" customFormat="false" ht="32.8" hidden="false" customHeight="false" outlineLevel="0" collapsed="false">
      <c r="A93" s="37" t="s">
        <v>312</v>
      </c>
      <c r="B93" s="20" t="s">
        <v>313</v>
      </c>
      <c r="C93" s="40" t="s">
        <v>46</v>
      </c>
      <c r="D93" s="20" t="s">
        <v>318</v>
      </c>
      <c r="E93" s="22" t="n">
        <v>20</v>
      </c>
      <c r="F93" s="32" t="n">
        <v>120000</v>
      </c>
      <c r="G93" s="20" t="s">
        <v>107</v>
      </c>
      <c r="H93" s="20" t="s">
        <v>311</v>
      </c>
      <c r="I93" s="20" t="s">
        <v>119</v>
      </c>
      <c r="J93" s="39" t="s">
        <v>784</v>
      </c>
      <c r="K93" s="20"/>
    </row>
    <row r="94" customFormat="false" ht="32.8" hidden="false" customHeight="false" outlineLevel="0" collapsed="false">
      <c r="A94" s="37" t="s">
        <v>611</v>
      </c>
      <c r="B94" s="20" t="s">
        <v>612</v>
      </c>
      <c r="C94" s="41" t="s">
        <v>48</v>
      </c>
      <c r="D94" s="20" t="s">
        <v>616</v>
      </c>
      <c r="E94" s="22" t="n">
        <v>6</v>
      </c>
      <c r="F94" s="22" t="s">
        <v>107</v>
      </c>
      <c r="G94" s="20" t="s">
        <v>310</v>
      </c>
      <c r="H94" s="20" t="s">
        <v>311</v>
      </c>
      <c r="I94" s="20" t="s">
        <v>146</v>
      </c>
      <c r="J94" s="39" t="s">
        <v>784</v>
      </c>
      <c r="K94" s="20"/>
    </row>
    <row r="97" customFormat="false" ht="15" hidden="false" customHeight="false" outlineLevel="0" collapsed="false">
      <c r="A97" s="43" t="s">
        <v>805</v>
      </c>
      <c r="B97" s="44"/>
      <c r="C97" s="44"/>
      <c r="D97" s="44"/>
      <c r="E97" s="44"/>
      <c r="F97" s="44"/>
      <c r="G97" s="44"/>
      <c r="H97" s="44"/>
      <c r="I97" s="44"/>
      <c r="J97" s="44"/>
      <c r="K97" s="44"/>
    </row>
    <row r="98" customFormat="false" ht="30" hidden="false" customHeight="true" outlineLevel="0" collapsed="false">
      <c r="A98" s="7" t="s">
        <v>806</v>
      </c>
      <c r="B98" s="7" t="s">
        <v>807</v>
      </c>
      <c r="C98" s="7" t="s">
        <v>808</v>
      </c>
      <c r="D98" s="7" t="s">
        <v>809</v>
      </c>
      <c r="E98" s="7" t="s">
        <v>810</v>
      </c>
    </row>
    <row r="99" customFormat="false" ht="43.25" hidden="false" customHeight="false" outlineLevel="0" collapsed="false">
      <c r="A99" s="45" t="s">
        <v>118</v>
      </c>
      <c r="B99" s="46" t="n">
        <v>208</v>
      </c>
      <c r="C99" s="46" t="n">
        <v>125</v>
      </c>
      <c r="D99" s="47" t="n">
        <v>1.664</v>
      </c>
      <c r="E99" s="48" t="s">
        <v>811</v>
      </c>
    </row>
    <row r="100" customFormat="false" ht="43.25" hidden="false" customHeight="false" outlineLevel="0" collapsed="false">
      <c r="A100" s="45" t="s">
        <v>168</v>
      </c>
      <c r="B100" s="46" t="n">
        <v>187</v>
      </c>
      <c r="C100" s="46" t="n">
        <v>125</v>
      </c>
      <c r="D100" s="47" t="n">
        <v>1.496</v>
      </c>
      <c r="E100" s="48" t="s">
        <v>811</v>
      </c>
    </row>
    <row r="101" customFormat="false" ht="43.25" hidden="false" customHeight="false" outlineLevel="0" collapsed="false">
      <c r="A101" s="45" t="s">
        <v>244</v>
      </c>
      <c r="B101" s="46" t="n">
        <v>186</v>
      </c>
      <c r="C101" s="46" t="n">
        <v>125</v>
      </c>
      <c r="D101" s="47" t="n">
        <v>1.488</v>
      </c>
      <c r="E101" s="48" t="s">
        <v>811</v>
      </c>
    </row>
    <row r="102" customFormat="false" ht="32.8" hidden="false" customHeight="false" outlineLevel="0" collapsed="false">
      <c r="A102" s="45" t="s">
        <v>145</v>
      </c>
      <c r="B102" s="46" t="n">
        <v>82</v>
      </c>
      <c r="C102" s="46" t="n">
        <v>125</v>
      </c>
      <c r="D102" s="49" t="n">
        <v>0.656</v>
      </c>
      <c r="E102" s="50" t="s">
        <v>812</v>
      </c>
    </row>
    <row r="103" customFormat="false" ht="43.25" hidden="false" customHeight="false" outlineLevel="0" collapsed="false">
      <c r="A103" s="45" t="s">
        <v>215</v>
      </c>
      <c r="B103" s="46" t="n">
        <v>73</v>
      </c>
      <c r="C103" s="46" t="n">
        <v>125</v>
      </c>
      <c r="D103" s="51" t="n">
        <v>0.584</v>
      </c>
      <c r="E103" s="50" t="s">
        <v>813</v>
      </c>
    </row>
    <row r="104" customFormat="false" ht="43.25" hidden="false" customHeight="false" outlineLevel="0" collapsed="false">
      <c r="A104" s="45" t="s">
        <v>161</v>
      </c>
      <c r="B104" s="46" t="n">
        <v>60</v>
      </c>
      <c r="C104" s="46" t="n">
        <v>125</v>
      </c>
      <c r="D104" s="51" t="n">
        <v>0.48</v>
      </c>
      <c r="E104" s="50" t="s">
        <v>813</v>
      </c>
    </row>
    <row r="105" customFormat="false" ht="43.25" hidden="false" customHeight="false" outlineLevel="0" collapsed="false">
      <c r="A105" s="45" t="s">
        <v>108</v>
      </c>
      <c r="B105" s="46" t="n">
        <v>58</v>
      </c>
      <c r="C105" s="46" t="n">
        <v>125</v>
      </c>
      <c r="D105" s="51" t="n">
        <v>0.464</v>
      </c>
      <c r="E105" s="50" t="s">
        <v>813</v>
      </c>
    </row>
    <row r="106" customFormat="false" ht="43.25" hidden="false" customHeight="false" outlineLevel="0" collapsed="false">
      <c r="A106" s="45" t="s">
        <v>311</v>
      </c>
      <c r="B106" s="46" t="n">
        <v>31</v>
      </c>
      <c r="C106" s="46" t="n">
        <v>125</v>
      </c>
      <c r="D106" s="51" t="n">
        <v>0.248</v>
      </c>
      <c r="E106" s="50" t="s">
        <v>813</v>
      </c>
    </row>
    <row r="107" customFormat="false" ht="43.25" hidden="false" customHeight="false" outlineLevel="0" collapsed="false">
      <c r="A107" s="45" t="s">
        <v>371</v>
      </c>
      <c r="B107" s="46" t="n">
        <v>29</v>
      </c>
      <c r="C107" s="46" t="n">
        <v>125</v>
      </c>
      <c r="D107" s="51" t="n">
        <v>0.232</v>
      </c>
      <c r="E107" s="50" t="s">
        <v>813</v>
      </c>
    </row>
    <row r="109" customFormat="false" ht="15" hidden="false" customHeight="true" outlineLevel="0" collapsed="false">
      <c r="A109" s="52" t="s">
        <v>814</v>
      </c>
      <c r="B109" s="52"/>
      <c r="C109" s="52"/>
      <c r="D109" s="52"/>
      <c r="E109" s="52"/>
      <c r="F109" s="52"/>
      <c r="G109" s="52"/>
      <c r="H109" s="52"/>
      <c r="I109" s="52"/>
      <c r="J109" s="52"/>
      <c r="K109" s="52"/>
    </row>
    <row r="110" customFormat="false" ht="15" hidden="false" customHeight="false" outlineLevel="0" collapsed="false">
      <c r="A110" s="52"/>
      <c r="B110" s="52"/>
      <c r="C110" s="52"/>
      <c r="D110" s="52"/>
      <c r="E110" s="52"/>
      <c r="F110" s="52"/>
      <c r="G110" s="52"/>
      <c r="H110" s="52"/>
      <c r="I110" s="52"/>
      <c r="J110" s="52"/>
      <c r="K110" s="52"/>
    </row>
    <row r="111" customFormat="false" ht="15" hidden="false" customHeight="false" outlineLevel="0" collapsed="false">
      <c r="A111" s="52"/>
      <c r="B111" s="52"/>
      <c r="C111" s="52"/>
      <c r="D111" s="52"/>
      <c r="E111" s="52"/>
      <c r="F111" s="52"/>
      <c r="G111" s="52"/>
      <c r="H111" s="52"/>
      <c r="I111" s="52"/>
      <c r="J111" s="52"/>
      <c r="K111" s="52"/>
    </row>
    <row r="112" customFormat="false" ht="15" hidden="false" customHeight="false" outlineLevel="0" collapsed="false">
      <c r="A112" s="52"/>
      <c r="B112" s="52"/>
      <c r="C112" s="52"/>
      <c r="D112" s="52"/>
      <c r="E112" s="52"/>
      <c r="F112" s="52"/>
      <c r="G112" s="52"/>
      <c r="H112" s="52"/>
      <c r="I112" s="52"/>
      <c r="J112" s="52"/>
      <c r="K112" s="52"/>
    </row>
    <row r="113" customFormat="false" ht="15" hidden="false" customHeight="false" outlineLevel="0" collapsed="false">
      <c r="A113" s="52"/>
      <c r="B113" s="52"/>
      <c r="C113" s="52"/>
      <c r="D113" s="52"/>
      <c r="E113" s="52"/>
      <c r="F113" s="52"/>
      <c r="G113" s="52"/>
      <c r="H113" s="52"/>
      <c r="I113" s="52"/>
      <c r="J113" s="52"/>
      <c r="K113" s="52"/>
    </row>
    <row r="114" customFormat="false" ht="15" hidden="false" customHeight="false" outlineLevel="0" collapsed="false">
      <c r="A114" s="52"/>
      <c r="B114" s="52"/>
      <c r="C114" s="52"/>
      <c r="D114" s="52"/>
      <c r="E114" s="52"/>
      <c r="F114" s="52"/>
      <c r="G114" s="52"/>
      <c r="H114" s="52"/>
      <c r="I114" s="52"/>
      <c r="J114" s="52"/>
      <c r="K114" s="52"/>
    </row>
  </sheetData>
  <mergeCells count="14">
    <mergeCell ref="A1:H1"/>
    <mergeCell ref="A2:H2"/>
    <mergeCell ref="B4:K4"/>
    <mergeCell ref="B32:K32"/>
    <mergeCell ref="B39:K39"/>
    <mergeCell ref="B45:K45"/>
    <mergeCell ref="B53:K53"/>
    <mergeCell ref="B59:K59"/>
    <mergeCell ref="B67:K67"/>
    <mergeCell ref="B73:K73"/>
    <mergeCell ref="B78:K78"/>
    <mergeCell ref="B84:K84"/>
    <mergeCell ref="B91:K91"/>
    <mergeCell ref="A109:K1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2026-09-10T01:00:48Z</dcterms:created>
  <dc:creator>openpyxl</dc:creator>
  <dc:description/>
  <dc:language>en-US</dc:language>
  <cp:lastModifiedBy/>
  <dcterms:modified xsi:type="dcterms:W3CDTF">2026-09-10T01:00:48Z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