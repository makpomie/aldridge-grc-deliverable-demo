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Method" sheetId="1" state="visible" r:id="rId3"/>
    <sheet name="System Categorisation" sheetId="2" state="visible" r:id="rId4"/>
    <sheet name="Risk Register" sheetId="3" state="visible" r:id="rId5"/>
    <sheet name="Risk Treatment Plan" sheetId="4" state="visible" r:id="rId6"/>
    <sheet name="Summary &amp; Heat Map" sheetId="5" state="visible" r:id="rId7"/>
  </sheets>
  <definedNames>
    <definedName function="false" hidden="true" localSheetId="2" name="_xlnm._FilterDatabase" vbProcedure="false">'Risk Register'!$A$3:$Y$58</definedName>
    <definedName function="false" hidden="true" localSheetId="3" name="_xlnm._FilterDatabase" vbProcedure="false">'Risk Treatment Plan'!$A$3:$L$58</definedName>
    <definedName function="false" hidden="true" localSheetId="1" name="_xlnm._FilterDatabase" vbProcedure="false">'System Categorisation'!$A$3:$I$25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<sst xmlns="http://schemas.openxmlformats.org/spreadsheetml/2006/main" count="1263" uniqueCount="650">
  <si>
    <t xml:space="preserve">Information Security Risk Assessment</t>
  </si>
  <si>
    <t xml:space="preserve">Aldridge Financial Technologies  |  AFT-ISMS-RSK-01  |  Version 2.0  |  9 September 2026  |  Classification: Confidential</t>
  </si>
  <si>
    <t xml:space="preserve">CHANGES IN VERSION 2.0</t>
  </si>
  <si>
    <t xml:space="preserve">Register expanded from 30 to 55 risks following expert review. Twenty-five risks added covering financial crime (sanctions, AML, SAR filing, CIP), single-cloud concentration, supplier financial viability and fourth-party concentration, fraud and settlement loss, data subject rights, and specific regulatory exposures including the NYDFS Part 500 CISO certification.</t>
  </si>
  <si>
    <t xml:space="preserve">Every risk now names a threat source from the AFT-CTX-01 section 14 threat profile, and every likelihood estimate now carries a stated evidence base. A Risk Treatment Plan with risk owner sign-off has been added to satisfy clause 6.1.3(e) and (f), which version 1.0 did not.</t>
  </si>
  <si>
    <t xml:space="preserve">FRAMEWORK POSITION — READ THIS FIRST</t>
  </si>
  <si>
    <t xml:space="preserve">Conducted under NIST SP 800-30 Rev. 1 using FIPS 199 for security categorisation. It operates within the Prepare, Categorize and Select steps of the NIST Risk Management Framework (SP 800-37 Rev. 2). It is NOT a full RMF implementation.</t>
  </si>
  <si>
    <t xml:space="preserve">RMF is a seven-step federal system authorisation lifecycle concluding with an Authorizing Official granting an Authorization to Operate. Aldridge has no Authorizing Official, no ATO and no federal system. The Implement, Assess, Authorize and Monitor steps as defined in SP 800-37 do not apply and have not been performed. Describing this as 'an RMF risk assessment' without that qualification would not be defensible.</t>
  </si>
  <si>
    <t xml:space="preserve">A NOTE ON INHERENT RISK</t>
  </si>
  <si>
    <t xml:space="preserve">This assessment scores inherent risk (the exposure assuming the control environment is absent) alongside residual risk. The approach is contested: some practitioners hold that inherent risk is not meaningfully estimable, since one cannot coherently imagine this organisation operating with no access control at all. It is used here for two reasons: it makes control contribution visible, which supports investment decisions; and it exposes controls that reduce nothing, as at R-05 and R-41 where inherent and residual are equal because the control is ineffective. Where the inherent estimate is weak, the residual figure governs.</t>
  </si>
  <si>
    <t xml:space="preserve">SCOPE AND BASIS</t>
  </si>
  <si>
    <t xml:space="preserve">Scope</t>
  </si>
  <si>
    <t xml:space="preserve">The 22 information assets catalogued in AFT-CTX-01 section 4, and the regulatory obligations at section 1.2.</t>
  </si>
  <si>
    <t xml:space="preserve">Method</t>
  </si>
  <si>
    <t xml:space="preserve">Asset-based assessment. Threat sources per AFT-CTX-01 section 14. Vulnerabilities drawn from AFT-ISMS-GAP-01 and from inspection.</t>
  </si>
  <si>
    <t xml:space="preserve">Inputs</t>
  </si>
  <si>
    <t xml:space="preserve">AFT-CTX-01 v2.0; AFT-ISMS-GAP-01 v2.0; AFT-TPRM-ASM-01 v2.0; incident history 2024-2026; obligations register.</t>
  </si>
  <si>
    <t xml:space="preserve">Interval</t>
  </si>
  <si>
    <t xml:space="preserve">At least annually and on significant change, once clause 8.2 is established.</t>
  </si>
  <si>
    <t xml:space="preserve">SCALES</t>
  </si>
  <si>
    <t xml:space="preserve">Impact 1-5</t>
  </si>
  <si>
    <t xml:space="preserve">1 Negligible (&lt;USD 50k) · 2 Minor (50k-500k) · 3 Moderate (500k-2m, reportable breach) · 4 Major (2m-10m, formal regulatory finding) · 5 Severe (&gt;10m, licence or authorisation at risk)</t>
  </si>
  <si>
    <t xml:space="preserve">Likelihood 1-5</t>
  </si>
  <si>
    <t xml:space="preserve">1 Rare (&lt;1 in 10 years) · 2 Unlikely (1 in 3-10 years) · 3 Possible (1 in 1-3 years) · 4 Likely (once in 12 months) · 5 Almost certain (more than once in 12 months, or already occurring)</t>
  </si>
  <si>
    <t xml:space="preserve">Rating</t>
  </si>
  <si>
    <t xml:space="preserve">Critical 16-25 (Board Audit Committee) · High 10-15 (ERC) · Moderate 5-9 (CISO) · Low 1-4 (asset owner)</t>
  </si>
  <si>
    <t xml:space="preserve">Control effectiveness</t>
  </si>
  <si>
    <t xml:space="preserve">Strong (reduces likelihood two bands or more) · Effective (one band) · Limited (less than one band) · Ineffective (no reduction; inherent equals residual)</t>
  </si>
  <si>
    <t xml:space="preserve">LIMITATIONS</t>
  </si>
  <si>
    <t xml:space="preserve">Likelihood estimates are judgement-based and informed by the evidence stated in the Likelihood basis column; they are not actuarial. Impact values use the financial and regulatory anchors in AFT-CTX-01 and have not been separately modelled. No control testing was performed; effectiveness ratings are carried from AFT-ISMS-GAP-01. Risks arising from the approximately 40 unregistered applications are represented in aggregate at R-04, R-45 and R-47 and cannot be individually assessed until that inventory closes. R-40 carries an unsupported likelihood by design: no supplier financial assessment has ever been performed, and recording a placeholder is more honest than implying an estimate exists.</t>
  </si>
  <si>
    <t xml:space="preserve">FIPS 199 Security Categorisation</t>
  </si>
  <si>
    <t xml:space="preserve">Impact level per security objective. Overall category is the high-water mark, per FIPS 199 s3.</t>
  </si>
  <si>
    <t xml:space="preserve">ID</t>
  </si>
  <si>
    <t xml:space="preserve">Asset</t>
  </si>
  <si>
    <t xml:space="preserve">Owner</t>
  </si>
  <si>
    <t xml:space="preserve">Information types</t>
  </si>
  <si>
    <t xml:space="preserve">Confidentiality</t>
  </si>
  <si>
    <t xml:space="preserve">Integrity</t>
  </si>
  <si>
    <t xml:space="preserve">Availability</t>
  </si>
  <si>
    <t xml:space="preserve">Overall</t>
  </si>
  <si>
    <t xml:space="preserve">Rationale</t>
  </si>
  <si>
    <t xml:space="preserve">A-01</t>
  </si>
  <si>
    <t xml:space="preserve">Aldridge Pay transaction processing service</t>
  </si>
  <si>
    <t xml:space="preserve">Oliver Trent</t>
  </si>
  <si>
    <t xml:space="preserve">Cardholder data; payment transaction records; merchant identifiers</t>
  </si>
  <si>
    <t xml:space="preserve">High</t>
  </si>
  <si>
    <t xml:space="preserve">Authorisation path for USD 14.2bn annualised volume. Loss of integrity permits fraudulent settlement; loss of availability halts merchant revenue across 2,400 platform customers.</t>
  </si>
  <si>
    <t xml:space="preserve">A-02</t>
  </si>
  <si>
    <t xml:space="preserve">Cardholder data vault (tokenisation)</t>
  </si>
  <si>
    <t xml:space="preserve">Cardholder data; tokenisation key material</t>
  </si>
  <si>
    <t xml:space="preserve">Compromise would expose account data at scale and trigger payment brand and state notification. Detokenisation failure halts all card processing.</t>
  </si>
  <si>
    <t xml:space="preserve">A-03</t>
  </si>
  <si>
    <t xml:space="preserve">Aldridge Credit origination platform</t>
  </si>
  <si>
    <t xml:space="preserve">Amara Diallo</t>
  </si>
  <si>
    <t xml:space="preserve">Borrower personal data; credit decision data; bank account details</t>
  </si>
  <si>
    <t xml:space="preserve">Moderate</t>
  </si>
  <si>
    <t xml:space="preserve">Holds identifiers and credit files. Integrity loss produces erroneous or unfair lending decisions with fair-lending exposure.</t>
  </si>
  <si>
    <t xml:space="preserve">A-04</t>
  </si>
  <si>
    <t xml:space="preserve">Aldridge Credit servicing and collections</t>
  </si>
  <si>
    <t xml:space="preserve">Borrower personal data; repayment and arrears records; bank details</t>
  </si>
  <si>
    <t xml:space="preserve">Integrity loss misstates borrower obligations and creates consumer harm and regulatory exposure.</t>
  </si>
  <si>
    <t xml:space="preserve">A-05</t>
  </si>
  <si>
    <t xml:space="preserve">Borrower credit file store (secure data zone)</t>
  </si>
  <si>
    <t xml:space="preserve">Credit files; government identifiers; income and affordability data</t>
  </si>
  <si>
    <t xml:space="preserve">The most sensitive concentration of personal data in the estate.</t>
  </si>
  <si>
    <t xml:space="preserve">A-06</t>
  </si>
  <si>
    <t xml:space="preserve">Aldridge Ledger reconciliation API</t>
  </si>
  <si>
    <t xml:space="preserve">Marcus Lindqvist</t>
  </si>
  <si>
    <t xml:space="preserve">Transaction and settlement records; merchant balances</t>
  </si>
  <si>
    <t xml:space="preserve">Integrity is paramount: reconciliation errors propagate into customer settlement and financial reporting.</t>
  </si>
  <si>
    <t xml:space="preserve">A-07</t>
  </si>
  <si>
    <t xml:space="preserve">Customer portal and merchant dashboard</t>
  </si>
  <si>
    <t xml:space="preserve">Merchant account data; transaction summaries; user credentials</t>
  </si>
  <si>
    <t xml:space="preserve">Principal customer interface. Presents data held authoritatively elsewhere.</t>
  </si>
  <si>
    <t xml:space="preserve">A-08</t>
  </si>
  <si>
    <t xml:space="preserve">Public marketing website</t>
  </si>
  <si>
    <t xml:space="preserve">Nadia Haddad</t>
  </si>
  <si>
    <t xml:space="preserve">Public marketing content; enquiry form submissions</t>
  </si>
  <si>
    <t xml:space="preserve">Low</t>
  </si>
  <si>
    <t xml:space="preserve">No sensitive data. Integrity matters: defacement or injected content would damage trust and could be used to phish customers.</t>
  </si>
  <si>
    <t xml:space="preserve">A-09</t>
  </si>
  <si>
    <t xml:space="preserve">Snowflake analytics warehouse</t>
  </si>
  <si>
    <t xml:space="preserve">Claire Bennett</t>
  </si>
  <si>
    <t xml:space="preserve">Aggregated borrower and transaction data; identifiable data beyond retention</t>
  </si>
  <si>
    <t xml:space="preserve">Confidentiality is High because identifiable borrower data persists here contrary to SCH-01 (W-09).</t>
  </si>
  <si>
    <t xml:space="preserve">A-10</t>
  </si>
  <si>
    <t xml:space="preserve">Fraud decisioning integration</t>
  </si>
  <si>
    <t xml:space="preserve">Transaction metadata; truncated cardholder data; risk scores</t>
  </si>
  <si>
    <t xml:space="preserve">Synchronous in the authorisation path and dependent on an external Tier 1 supplier (V-01).</t>
  </si>
  <si>
    <t xml:space="preserve">A-11</t>
  </si>
  <si>
    <t xml:space="preserve">Okta identity provider</t>
  </si>
  <si>
    <t xml:space="preserve">Ruth Nakamura</t>
  </si>
  <si>
    <t xml:space="preserve">Authentication credentials; identity and entitlement data</t>
  </si>
  <si>
    <t xml:space="preserve">Compromise confers access to every federated system. Unavailability locks out the entire workforce.</t>
  </si>
  <si>
    <t xml:space="preserve">A-12</t>
  </si>
  <si>
    <t xml:space="preserve">HashiCorp Vault secrets store</t>
  </si>
  <si>
    <t xml:space="preserve">Sanjay Mehta</t>
  </si>
  <si>
    <t xml:space="preserve">Credentials; API keys; cryptographic key material</t>
  </si>
  <si>
    <t xml:space="preserve">Concentrates the secrets protecting every other asset.</t>
  </si>
  <si>
    <t xml:space="preserve">A-13</t>
  </si>
  <si>
    <t xml:space="preserve">GitHub source code repositories</t>
  </si>
  <si>
    <t xml:space="preserve">Proprietary source code; infrastructure definitions; CI configuration</t>
  </si>
  <si>
    <t xml:space="preserve">Integrity is High: malicious commits reach production through the pipeline.</t>
  </si>
  <si>
    <t xml:space="preserve">A-14</t>
  </si>
  <si>
    <t xml:space="preserve">CI/CD pipeline and deployment tooling</t>
  </si>
  <si>
    <t xml:space="preserve">Deployment credentials; build artefacts; release records</t>
  </si>
  <si>
    <t xml:space="preserve">A compromised pipeline is a direct path to production regardless of other controls.</t>
  </si>
  <si>
    <t xml:space="preserve">A-15</t>
  </si>
  <si>
    <t xml:space="preserve">AWS management and organisation accounts</t>
  </si>
  <si>
    <t xml:space="preserve">Cloud configuration; organisation policy; root credentials</t>
  </si>
  <si>
    <t xml:space="preserve">Control-plane compromise is equivalent to compromise of every asset it governs.</t>
  </si>
  <si>
    <t xml:space="preserve">A-16</t>
  </si>
  <si>
    <t xml:space="preserve">Splunk SIEM and log archive</t>
  </si>
  <si>
    <t xml:space="preserve">Tomas Vidal</t>
  </si>
  <si>
    <t xml:space="preserve">Security event data; audit trails; investigation records</t>
  </si>
  <si>
    <t xml:space="preserve">Integrity is High: log tampering would defeat detection and destroy evidential value.</t>
  </si>
  <si>
    <t xml:space="preserve">A-17</t>
  </si>
  <si>
    <t xml:space="preserve">Google Workspace (mail, drive, docs)</t>
  </si>
  <si>
    <t xml:space="preserve">Grace Lindberg</t>
  </si>
  <si>
    <t xml:space="preserve">Business correspondence; Confidential documents; contracts</t>
  </si>
  <si>
    <t xml:space="preserve">Broad but generally not Restricted content. Principal phishing target.</t>
  </si>
  <si>
    <t xml:space="preserve">A-18</t>
  </si>
  <si>
    <t xml:space="preserve">HR information system</t>
  </si>
  <si>
    <t xml:space="preserve">Employee personal data; contracts; performance records</t>
  </si>
  <si>
    <t xml:space="preserve">Personal data of 610 workers. Authoritative source for joiner, mover and leaver automation.</t>
  </si>
  <si>
    <t xml:space="preserve">A-19</t>
  </si>
  <si>
    <t xml:space="preserve">Finance and ERP system</t>
  </si>
  <si>
    <t xml:space="preserve">Daniel Okonkwo</t>
  </si>
  <si>
    <t xml:space="preserve">Financial records; supplier bank details; payment instructions</t>
  </si>
  <si>
    <t xml:space="preserve">Integrity is High: payment instruction manipulation is a direct fraud route.</t>
  </si>
  <si>
    <t xml:space="preserve">A-20</t>
  </si>
  <si>
    <t xml:space="preserve">Corporate endpoints (610 devices)</t>
  </si>
  <si>
    <t xml:space="preserve">Cached Confidential data; credentials; local working files</t>
  </si>
  <si>
    <t xml:space="preserve">Distributed exposure. Mitigated by encryption, EDR and prohibition on local Restricted storage.</t>
  </si>
  <si>
    <t xml:space="preserve">A-21</t>
  </si>
  <si>
    <t xml:space="preserve">Austin office and comms room</t>
  </si>
  <si>
    <t xml:space="preserve">Physical documents; network equipment; visitor records</t>
  </si>
  <si>
    <t xml:space="preserve">No production processing on premises. Comms room supports site connectivity.</t>
  </si>
  <si>
    <t xml:space="preserve">A-22</t>
  </si>
  <si>
    <t xml:space="preserve">London office (landlord-managed access)</t>
  </si>
  <si>
    <t xml:space="preserve">Physical documents; workstations</t>
  </si>
  <si>
    <t xml:space="preserve">No production processing. Access administration outside Aldridge control (W-11).</t>
  </si>
  <si>
    <t xml:space="preserve">Information Security Risk Register</t>
  </si>
  <si>
    <t xml:space="preserve">55 risks. Scores, ratings, appetite test and approval level are formulas. Threat sources per AFT-CTX-01 s14.</t>
  </si>
  <si>
    <t xml:space="preserve">Risk ID</t>
  </si>
  <si>
    <t xml:space="preserve">Risk</t>
  </si>
  <si>
    <t xml:space="preserve">Assets</t>
  </si>
  <si>
    <t xml:space="preserve">TA</t>
  </si>
  <si>
    <t xml:space="preserve">Threat source</t>
  </si>
  <si>
    <t xml:space="preserve">Appetite category</t>
  </si>
  <si>
    <t xml:space="preserve">Threat event</t>
  </si>
  <si>
    <t xml:space="preserve">Vulnerability / condition</t>
  </si>
  <si>
    <t xml:space="preserve">Existing controls</t>
  </si>
  <si>
    <t xml:space="preserve">Inh. I</t>
  </si>
  <si>
    <t xml:space="preserve">Inh. L</t>
  </si>
  <si>
    <t xml:space="preserve">Inh. score</t>
  </si>
  <si>
    <t xml:space="preserve">Inh. rating</t>
  </si>
  <si>
    <t xml:space="preserve">Likelihood basis</t>
  </si>
  <si>
    <t xml:space="preserve">Res. I</t>
  </si>
  <si>
    <t xml:space="preserve">Res. L</t>
  </si>
  <si>
    <t xml:space="preserve">Res. score</t>
  </si>
  <si>
    <t xml:space="preserve">Res. rating</t>
  </si>
  <si>
    <t xml:space="preserve">Max tolerable</t>
  </si>
  <si>
    <t xml:space="preserve">Appetite test</t>
  </si>
  <si>
    <t xml:space="preserve">Treatment</t>
  </si>
  <si>
    <t xml:space="preserve">Risk owner</t>
  </si>
  <si>
    <t xml:space="preserve">Target date</t>
  </si>
  <si>
    <t xml:space="preserve">Approval to accept</t>
  </si>
  <si>
    <t xml:space="preserve">R-01</t>
  </si>
  <si>
    <t xml:space="preserve">Ransomware encrypts production estate and backups</t>
  </si>
  <si>
    <t xml:space="preserve">A-01, A-02, A-03, A-04, A-15</t>
  </si>
  <si>
    <t xml:space="preserve">TA-01</t>
  </si>
  <si>
    <t xml:space="preserve">Organised criminal group</t>
  </si>
  <si>
    <t xml:space="preserve">Service availability</t>
  </si>
  <si>
    <t xml:space="preserve">Deployment of ransomware following initial access, with attempted destruction of backups before encryption</t>
  </si>
  <si>
    <t xml:space="preserve">Cross-region failover has not been exercised end to end since March 2025, so the one-hour recovery objectives are unproven (W-07).</t>
  </si>
  <si>
    <t xml:space="preserve">CrowdStrike EDR across endpoints and servers; network segregation into separate accounts; immutable cross-region backups; universal MFA; just-in-time privileged access with no standing production privilege; 24/7 SOC.</t>
  </si>
  <si>
    <t xml:space="preserve">Sector incident data: ransomware remains the most frequently reported cause of material disruption in financial services. No Aldridge incident to date. Inherent L4 reflects sector frequency; residual L2 reflects tested EDR and segregation.</t>
  </si>
  <si>
    <t xml:space="preserve">Effective</t>
  </si>
  <si>
    <t xml:space="preserve">Treat</t>
  </si>
  <si>
    <t xml:space="preserve">31 Mar 2027</t>
  </si>
  <si>
    <t xml:space="preserve">R-02</t>
  </si>
  <si>
    <t xml:space="preserve">Compromise of cloud control-plane credentials</t>
  </si>
  <si>
    <t xml:space="preserve">A-15, A-11, A-12</t>
  </si>
  <si>
    <t xml:space="preserve">TA-08</t>
  </si>
  <si>
    <t xml:space="preserve">Sophisticated external attacker</t>
  </si>
  <si>
    <t xml:space="preserve">Data confidentiality</t>
  </si>
  <si>
    <t xml:space="preserve">Theft or misuse of organisation-level AWS credentials granting estate-wide access</t>
  </si>
  <si>
    <t xml:space="preserve">Concentration of authority in the management accounts; break-glass credentials exist by necessity.</t>
  </si>
  <si>
    <t xml:space="preserve">Root and organisation-owner credentials under dual custody with hardware tokens; CyberArk just-in-time elevation, four-hour maximum; privileged access workstations mandatory; break-glass sealed, alerted on every use and reconciled within one business day; session recording retained 12 months.</t>
  </si>
  <si>
    <t xml:space="preserve">No Aldridge occurrence. Inherent L4 reflects the frequency of cloud credential compromise in published breach reporting. Residual L1 reflects dual custody and the absence of standing privilege.</t>
  </si>
  <si>
    <t xml:space="preserve">Strong</t>
  </si>
  <si>
    <t xml:space="preserve">Tolerate</t>
  </si>
  <si>
    <t xml:space="preserve">n/a</t>
  </si>
  <si>
    <t xml:space="preserve">R-03</t>
  </si>
  <si>
    <t xml:space="preserve">Cardholder data exfiltrated from the cardholder data environment</t>
  </si>
  <si>
    <t xml:space="preserve">A-02, A-01</t>
  </si>
  <si>
    <t xml:space="preserve">Extraction of stored account data following compromise of a CDE component</t>
  </si>
  <si>
    <t xml:space="preserve">The CDE remains a high-value target notwithstanding tokenisation.</t>
  </si>
  <si>
    <t xml:space="preserve">Tokenisation of stored account data; field-level encryption with customer-managed keys; network segregation validated annually by the QSA; DLP tuned to cardholder data patterns; monthly access recertification; comprehensive logging to Splunk.</t>
  </si>
  <si>
    <t xml:space="preserve">No Aldridge occurrence in five years of PCI operation. Residual L1 supported by annual QSA validation of segmentation.</t>
  </si>
  <si>
    <t xml:space="preserve">R-04</t>
  </si>
  <si>
    <t xml:space="preserve">Borrower personal data exposed through unregistered software as a service</t>
  </si>
  <si>
    <t xml:space="preserve">A-05, A-09, A-17</t>
  </si>
  <si>
    <t xml:space="preserve">TA-10</t>
  </si>
  <si>
    <t xml:space="preserve">Worker (non-malicious)</t>
  </si>
  <si>
    <t xml:space="preserve">Upload or synchronisation of Restricted or Confidential data to an unassessed third-party application</t>
  </si>
  <si>
    <t xml:space="preserve">Approximately 40 SaaS applications are in use without registration, owner, classification, contract or assessment (W-04). Web filtering blocks malicious destinations but not unsanctioned services (A.8.23). DLP does not cover these channels (A.8.12).</t>
  </si>
  <si>
    <t xml:space="preserve">POL-01 section 3.6 prohibits unapproved services; CASB provides discovery but not inline enforcement; annual awareness training.</t>
  </si>
  <si>
    <t xml:space="preserve">Condition present: CASB discovery in August 2026 identified approximately 40 applications. L4 inherent reflects that the behaviour is occurring; residual L3 reflects partial detection without prevention.</t>
  </si>
  <si>
    <t xml:space="preserve">Limited</t>
  </si>
  <si>
    <t xml:space="preserve">30 Nov 2026</t>
  </si>
  <si>
    <t xml:space="preserve">R-05</t>
  </si>
  <si>
    <t xml:space="preserve">Identifiable borrower data retained beyond its lawful retention period</t>
  </si>
  <si>
    <t xml:space="preserve">A-09, A-05</t>
  </si>
  <si>
    <t xml:space="preserve">Internal process failure</t>
  </si>
  <si>
    <t xml:space="preserve">Regulatory compliance</t>
  </si>
  <si>
    <t xml:space="preserve">Continued storage of identifiable personal data after the purpose for processing has been fulfilled</t>
  </si>
  <si>
    <t xml:space="preserve">SCH-01 is published but not technically enforced. No automated deletion at end of retention. The condition is present and ongoing, not prospective (W-09).</t>
  </si>
  <si>
    <t xml:space="preserve">Records Retention Schedule published; legal hold process operated by the General Counsel; access control and encryption applied to the data at rest.</t>
  </si>
  <si>
    <t xml:space="preserve">Condition present and confirmed by inspection of the Snowflake estate. L5 is not an estimate; the non-compliance exists.</t>
  </si>
  <si>
    <t xml:space="preserve">Ineffective</t>
  </si>
  <si>
    <t xml:space="preserve">R-06</t>
  </si>
  <si>
    <t xml:space="preserve">Malicious activity in Aldridge Credit servicing goes undetected</t>
  </si>
  <si>
    <t xml:space="preserve">A-04, A-05</t>
  </si>
  <si>
    <t xml:space="preserve">TA-05</t>
  </si>
  <si>
    <t xml:space="preserve">External attacker or malicious insider</t>
  </si>
  <si>
    <t xml:space="preserve">Unauthorised access to or manipulation of borrower servicing data that is neither detected nor reconstructable</t>
  </si>
  <si>
    <t xml:space="preserve">Approximately 15% of the Credit servicing estate does not ship logs to Splunk (W-10). Detection content for that estate is thin and unmapped to any threat framework.</t>
  </si>
  <si>
    <t xml:space="preserve">Perimeter and identity controls apply equally to this estate; EDR deployed; access recertification quarterly.</t>
  </si>
  <si>
    <t xml:space="preserve">Internal: 15% logging gap confirmed by reconciliation of the asset register to Splunk sources. No detection means occurrence cannot be excluded.</t>
  </si>
  <si>
    <t xml:space="preserve">31 Jan 2027</t>
  </si>
  <si>
    <t xml:space="preserve">R-07</t>
  </si>
  <si>
    <t xml:space="preserve">Compromise of Northgate Analytics exposes data in the authorisation path</t>
  </si>
  <si>
    <t xml:space="preserve">A-10, A-01</t>
  </si>
  <si>
    <t xml:space="preserve">TA-06</t>
  </si>
  <si>
    <t xml:space="preserve">External attacker via supplier</t>
  </si>
  <si>
    <t xml:space="preserve">Breach of a Tier 1 supplier receiving Restricted data synchronously during payment authorisation</t>
  </si>
  <si>
    <t xml:space="preserve">Last assessed October 2024, twenty-three months ago (W-08). Contract predates 2023 and lacks the current security schedule, including the 24-hour notification obligation. Subcontractors are undisclosed (A.5.21).</t>
  </si>
  <si>
    <t xml:space="preserve">Data shared is truncated and tokenised where possible; mutually authenticated integration; network path restricted; supplier holds a current SOC 2 report from 2024.</t>
  </si>
  <si>
    <t xml:space="preserve">Sector data on third-party breach frequency, adjusted upward for a supplier unassessed for 23 months with no notification obligation.</t>
  </si>
  <si>
    <t xml:space="preserve">Elena Petrova</t>
  </si>
  <si>
    <t xml:space="preserve">R-08</t>
  </si>
  <si>
    <t xml:space="preserve">Northgate Analytics outage suspends payment authorisation</t>
  </si>
  <si>
    <t xml:space="preserve">Supplier failure</t>
  </si>
  <si>
    <t xml:space="preserve">Third-party concentration</t>
  </si>
  <si>
    <t xml:space="preserve">Loss of the fraud decisioning service during trading hours</t>
  </si>
  <si>
    <t xml:space="preserve">Single supplier in a synchronous critical path with no assessed alternative. No documented exit plan, contrary to the risk appetite statement for Tier 1 concentration.</t>
  </si>
  <si>
    <t xml:space="preserve">Rules-based fallback scoring engaged automatically on supplier timeout, with tightened velocity limits while active; contractual availability commitment; status monitoring with alerting.</t>
  </si>
  <si>
    <t xml:space="preserve">Supplier availability history: two degradations in 24 months, both under 30 minutes, both absorbed by the fallback engine.</t>
  </si>
  <si>
    <t xml:space="preserve">30 Jun 2027</t>
  </si>
  <si>
    <t xml:space="preserve">R-09</t>
  </si>
  <si>
    <t xml:space="preserve">Restricted data resides with undisclosed fourth parties</t>
  </si>
  <si>
    <t xml:space="preserve">A-05, A-10</t>
  </si>
  <si>
    <t xml:space="preserve">Supplier subcontracting</t>
  </si>
  <si>
    <t xml:space="preserve">Onward transfer of Aldridge data to subcontractors that have not been identified, assessed or contractually bound</t>
  </si>
  <si>
    <t xml:space="preserve">No subcontractor disclosure requirement in the questionnaire or in contracts. Aldridge cannot state where Restricted data ultimately resides, including whether it leaves the UK or US (A.5.21).</t>
  </si>
  <si>
    <t xml:space="preserve">First-tier contracts include confidentiality terms; UK transfers governed by documented mechanisms for known flows only.</t>
  </si>
  <si>
    <t xml:space="preserve">Condition present: the chain is unmapped, so onward transfer cannot be excluded and is likely given standard SaaS architecture.</t>
  </si>
  <si>
    <t xml:space="preserve">R-10</t>
  </si>
  <si>
    <t xml:space="preserve">Offshore support agent exfiltrates customer data</t>
  </si>
  <si>
    <t xml:space="preserve">A-04, A-07</t>
  </si>
  <si>
    <t xml:space="preserve">Malicious insider at supplier</t>
  </si>
  <si>
    <t xml:space="preserve">Bulk copying or photography of customer records by a Meridian BPO agent during dispute handling</t>
  </si>
  <si>
    <t xml:space="preserve">Human access to Confidential data, with Restricted access on escalation, from a jurisdiction where Aldridge has no direct oversight. DLP does not extend to the supplier's environment.</t>
  </si>
  <si>
    <t xml:space="preserve">Access limited to named agents through a dedicated time-bound path; activity logged; contractual background screening obligation; access scoped to the case in hand.</t>
  </si>
  <si>
    <t xml:space="preserve">No Aldridge occurrence. Sector data on BPO insider incidents; adjusted for the volume of agents with Confidential access and the absence of DLP in the supplier environment.</t>
  </si>
  <si>
    <t xml:space="preserve">R-11</t>
  </si>
  <si>
    <t xml:space="preserve">Worker credentials phished and used for account takeover</t>
  </si>
  <si>
    <t xml:space="preserve">A-11, A-17</t>
  </si>
  <si>
    <t xml:space="preserve">TA-04</t>
  </si>
  <si>
    <t xml:space="preserve">External attacker</t>
  </si>
  <si>
    <t xml:space="preserve">Credential harvesting through a targeted phishing campaign, followed by authenticated access</t>
  </si>
  <si>
    <t xml:space="preserve">610 workers reachable by email. Most recent simulation click rate 14.2% with 4.6% credential submission.</t>
  </si>
  <si>
    <t xml:space="preserve">Universal MFA; phishing-resistant FIDO2 for all privileged access; SMS one-time passcodes not accepted for privileged access; mail filtering; Report Phishing button with 31% report rate and 11-minute median first report; conditional access on device posture.</t>
  </si>
  <si>
    <t xml:space="preserve">Internal: 14.2% simulation click rate and 4.6% credential submission across 610 workers, four campaigns per year. L5 inherent is directly evidenced.</t>
  </si>
  <si>
    <t xml:space="preserve">R-12</t>
  </si>
  <si>
    <t xml:space="preserve">Untrained population raises susceptibility to social engineering</t>
  </si>
  <si>
    <t xml:space="preserve">A-17, A-20</t>
  </si>
  <si>
    <t xml:space="preserve">Successful manipulation of a worker who has not completed security training</t>
  </si>
  <si>
    <t xml:space="preserve">Training completion is 91%, with the residual 9% concentrated in Sales and the London office (W-14). Forty-seven repeat clickers have received no targeted intervention (W-15).</t>
  </si>
  <si>
    <t xml:space="preserve">Annual training platform in place; induction training required before access is granted; quarterly phishing simulation.</t>
  </si>
  <si>
    <t xml:space="preserve">Internal: 91% training completion; 47 repeat clickers across the last four campaigns.</t>
  </si>
  <si>
    <t xml:space="preserve">Helen Achebe-Ward</t>
  </si>
  <si>
    <t xml:space="preserve">R-13</t>
  </si>
  <si>
    <t xml:space="preserve">Unrecorded change to a cardholder data environment component</t>
  </si>
  <si>
    <t xml:space="preserve">A-01, A-02</t>
  </si>
  <si>
    <t xml:space="preserve">Worker (non-malicious) or malicious insider</t>
  </si>
  <si>
    <t xml:space="preserve">Manual configuration change to a CDE component that is neither approved nor recorded</t>
  </si>
  <si>
    <t xml:space="preserve">Approximately 20% of the Aldridge Pay estate sits outside Terraform, permits manual change, has no drift detection, and cannot produce a complete change history (W-12).</t>
  </si>
  <si>
    <t xml:space="preserve">Change Advisory Board meets twice weekly; automated change records for the codified estate; privileged access brokered and session-recorded; PCI DSS change requirements applied.</t>
  </si>
  <si>
    <t xml:space="preserve">Internal: change records could not be reconciled to deployment events for the uncodified estate; occurrence cannot be excluded.</t>
  </si>
  <si>
    <t xml:space="preserve">R-14</t>
  </si>
  <si>
    <t xml:space="preserve">Cryptographic key of unclear ownership cannot be rotated during an incident</t>
  </si>
  <si>
    <t xml:space="preserve">A-02, A-12</t>
  </si>
  <si>
    <t xml:space="preserve">Inability to rotate or revoke a compromised key because its owner, dependencies and blast radius are unknown</t>
  </si>
  <si>
    <t xml:space="preserve">The key inventory is incomplete and ownership of several legacy Aldridge Pay keys is unclear (W-16). Rotation for those keys cannot be evidenced.</t>
  </si>
  <si>
    <t xml:space="preserve">STD-09 Cryptographic Key Management Standard issued; KMS and Vault provide technical rotation capability; keys protected by access control.</t>
  </si>
  <si>
    <t xml:space="preserve">Internal: key inventory incomplete; rotation for the affected keys has never been evidenced.</t>
  </si>
  <si>
    <t xml:space="preserve">R-15</t>
  </si>
  <si>
    <t xml:space="preserve">Disaster recovery fails to meet stated recovery objectives</t>
  </si>
  <si>
    <t xml:space="preserve">A-01, A-02, A-03, A-04, A-11, A-12</t>
  </si>
  <si>
    <t xml:space="preserve">Infrastructure failure or regional outage</t>
  </si>
  <si>
    <t xml:space="preserve">Loss of an AWS region with failover that does not complete within the stated objective</t>
  </si>
  <si>
    <t xml:space="preserve">Cross-region failover has not been exercised end to end since March 2025. Full restore of the Credit servicing estate has never been performed (W-07).</t>
  </si>
  <si>
    <t xml:space="preserve">Multi-availability-zone deployment; cross-region replication configured; automated encrypted backups; component-level failover tested quarterly with results recorded.</t>
  </si>
  <si>
    <t xml:space="preserve">Internal: no end-to-end failover exercise since March 2025. Likelihood reflects the probability of a triggering event combined with the probability that untested failover underperforms.</t>
  </si>
  <si>
    <t xml:space="preserve">R-16</t>
  </si>
  <si>
    <t xml:space="preserve">Identifiable production data present in non-production environments</t>
  </si>
  <si>
    <t xml:space="preserve">A-05, A-03</t>
  </si>
  <si>
    <t xml:space="preserve">Copying of identifiable borrower data into development or test environments held to a lower control standard</t>
  </si>
  <si>
    <t xml:space="preserve">Standing exceptions permit production data in test. They are not consistently time-bound or reviewed, and use of the masking pipeline is not enforced at the account boundary (W-06).</t>
  </si>
  <si>
    <t xml:space="preserve">POL-04 section 6.3 prohibits the practice; masking and tokenisation pipeline available; environments separated into distinct AWS accounts.</t>
  </si>
  <si>
    <t xml:space="preserve">Internal: standing exceptions exist and are in use; identifiable data confirmed present in a non-production account.</t>
  </si>
  <si>
    <t xml:space="preserve">R-17</t>
  </si>
  <si>
    <t xml:space="preserve">Design-level security flaw reaches production undetected</t>
  </si>
  <si>
    <t xml:space="preserve">A-01, A-03, A-07</t>
  </si>
  <si>
    <t xml:space="preserve">Change and innovation</t>
  </si>
  <si>
    <t xml:space="preserve">A vulnerability arising from architectural design rather than implementation passes through testing into production</t>
  </si>
  <si>
    <t xml:space="preserve">The secure development lifecycle has no threat modelling stage, so design flaws are not systematically identified (W-06). Secure engineering principles are applied by convention but undocumented.</t>
  </si>
  <si>
    <t xml:space="preserve">Mandatory peer review; SAST, DAST and SCA enforced in CI with blocking thresholds; annual external penetration test; architecture review for significant changes.</t>
  </si>
  <si>
    <t xml:space="preserve">Internal: no threat modelling stage. Sector data indicates a material share of exploited vulnerabilities originate in design rather than implementation.</t>
  </si>
  <si>
    <t xml:space="preserve">R-18</t>
  </si>
  <si>
    <t xml:space="preserve">ISO 27001 certification is delayed or fails, costing enterprise revenue</t>
  </si>
  <si>
    <t xml:space="preserve">Commercial</t>
  </si>
  <si>
    <t xml:space="preserve">Programme failure</t>
  </si>
  <si>
    <t xml:space="preserve">Stage 2 assessment not passed within the committed timeframe, causing loss of contracts conditional on certification</t>
  </si>
  <si>
    <t xml:space="preserve">The management system does not yet exist: 24 of 25 clause requirements are unmet. Clause 9.2 and 9.3 evidence accrues only over elapsed time and cannot be compressed.</t>
  </si>
  <si>
    <t xml:space="preserve">Certification programme approved and funded by the ERC; gap analysis complete; remediation plan defined across 11 workstreams.</t>
  </si>
  <si>
    <t xml:space="preserve">Internal: 24 of 25 clause requirements unmet with a nine-month sequenced critical path against a Q2 2027 Stage 1 target.</t>
  </si>
  <si>
    <t xml:space="preserve">R-19</t>
  </si>
  <si>
    <t xml:space="preserve">PCI DSS compliance is not sustained at the next assessment</t>
  </si>
  <si>
    <t xml:space="preserve">Loss of Level 1 service provider compliance at the assessment preceding AOC expiry in April 2027</t>
  </si>
  <si>
    <t xml:space="preserve">The uncodified 20% of the Pay estate sits inside the CDE and cannot evidence a complete change history (W-12).</t>
  </si>
  <si>
    <t xml:space="preserve">Mature PCI programme with five years of continuous compliance; annual QSA assessment; segmentation validated annually; comprehensive CDE logging; monthly access recertification.</t>
  </si>
  <si>
    <t xml:space="preserve">Internal: five consecutive years of compliance; no adverse QSA findings. L2 inherent, L1 residual.</t>
  </si>
  <si>
    <t xml:space="preserve">R-20</t>
  </si>
  <si>
    <t xml:space="preserve">Distributed denial of service degrades customer-facing services</t>
  </si>
  <si>
    <t xml:space="preserve">A-01, A-07</t>
  </si>
  <si>
    <t xml:space="preserve">TA-07</t>
  </si>
  <si>
    <t xml:space="preserve">Hacktivist or extortion actor</t>
  </si>
  <si>
    <t xml:space="preserve">Volumetric or application-layer attack against public endpoints</t>
  </si>
  <si>
    <t xml:space="preserve">Public endpoints are necessarily internet-facing.</t>
  </si>
  <si>
    <t xml:space="preserve">AWS Shield and CloudFront edge absorption; WAF with rate limiting; autoscaling; runbook and tabletop coverage for volumetric attack.</t>
  </si>
  <si>
    <t xml:space="preserve">Sector data on DDoS frequency against payment platforms. No Aldridge occurrence above edge absorption capacity.</t>
  </si>
  <si>
    <t xml:space="preserve">R-21</t>
  </si>
  <si>
    <t xml:space="preserve">Payment fraud through compromised merchant credentials</t>
  </si>
  <si>
    <t xml:space="preserve">TA-02</t>
  </si>
  <si>
    <t xml:space="preserve">Fraudulent transaction submission using stolen merchant portal credentials</t>
  </si>
  <si>
    <t xml:space="preserve">Merchant credential hygiene is outside Aldridge control. Fraud detection depends on a Tier 1 supplier (see R-07, R-08).</t>
  </si>
  <si>
    <t xml:space="preserve">Fraud decisioning on every authorisation; velocity and value limits; MFA available and enforced for merchant administrators; anomaly alerting to the risk team; chargeback monitoring.</t>
  </si>
  <si>
    <t xml:space="preserve">Internal: merchant credential compromise observed at low volume in 2025 and 2026; contained by fraud decisioning.</t>
  </si>
  <si>
    <t xml:space="preserve">R-22</t>
  </si>
  <si>
    <t xml:space="preserve">Credit decisioning model produces erroneous or unfair outcomes</t>
  </si>
  <si>
    <t xml:space="preserve">A-03, A-05</t>
  </si>
  <si>
    <t xml:space="preserve">Model drift or defective training data yields decisions that are inaccurate or discriminatory in effect</t>
  </si>
  <si>
    <t xml:space="preserve">Model governance is maturing. Fair-lending exposure in the US and consumer duty exposure in the UK.</t>
  </si>
  <si>
    <t xml:space="preserve">Model validation before deployment; performance and drift monitoring; adverse action reason codes; human review of declines above threshold; periodic disparate impact testing.</t>
  </si>
  <si>
    <t xml:space="preserve">No Aldridge occurrence. Likelihood reflects model drift frequency and the maturity of validation and monitoring.</t>
  </si>
  <si>
    <t xml:space="preserve">R-23</t>
  </si>
  <si>
    <t xml:space="preserve">Proprietary source code exfiltrated</t>
  </si>
  <si>
    <t xml:space="preserve">Departing worker or external attacker</t>
  </si>
  <si>
    <t xml:space="preserve">Bulk cloning of repositories to a personal or external destination</t>
  </si>
  <si>
    <t xml:space="preserve">230 engineers hold repository access. Cloning is a legitimate daily activity, so malicious cloning is hard to distinguish.</t>
  </si>
  <si>
    <t xml:space="preserve">GitHub access by team with quarterly recertification; POL-01 prohibits pushing to personal repositories; four-hour leaver revocation; audit logging of repository access.</t>
  </si>
  <si>
    <t xml:space="preserve">No Aldridge occurrence. Sector data on departing-employee code exfiltration; adjusted for 230 engineers with legitimate cloning rights.</t>
  </si>
  <si>
    <t xml:space="preserve">R-24</t>
  </si>
  <si>
    <t xml:space="preserve">Compromised software dependency introduces malicious code</t>
  </si>
  <si>
    <t xml:space="preserve">A-13, A-14</t>
  </si>
  <si>
    <t xml:space="preserve">Supply chain attacker</t>
  </si>
  <si>
    <t xml:space="preserve">A poisoned open source package or compromised upstream maintainer reaches production through the build</t>
  </si>
  <si>
    <t xml:space="preserve">Substantial dependency surface across Go, TypeScript and Python. Fourth-party visibility is absent generally (see R-09).</t>
  </si>
  <si>
    <t xml:space="preserve">Software composition analysis in CI with blocking thresholds; automated dependency upgrade pull requests; required review and signed commits; immutable build artefacts.</t>
  </si>
  <si>
    <t xml:space="preserve">Sector data: dependency compromise events are now regular occurrences across major package ecosystems.</t>
  </si>
  <si>
    <t xml:space="preserve">R-25</t>
  </si>
  <si>
    <t xml:space="preserve">CI/CD pipeline compromise enables unauthorised deployment to production</t>
  </si>
  <si>
    <t xml:space="preserve">A-14, A-01</t>
  </si>
  <si>
    <t xml:space="preserve">Injection of a malicious artefact or workflow reaching production without human review</t>
  </si>
  <si>
    <t xml:space="preserve">Approximately 40 deployments per day; the pipeline is a standing path to production by design.</t>
  </si>
  <si>
    <t xml:space="preserve">OIDC federation with no long-lived deployment credentials; required reviews and CODEOWNERS enforcement; separate accounts per environment with no network path; artefact signing; deployment records generated automatically.</t>
  </si>
  <si>
    <t xml:space="preserve">No occurrence. L2 reflects the strength of OIDC federation and required review; the pipeline remains a standing path to production.</t>
  </si>
  <si>
    <t xml:space="preserve">R-26</t>
  </si>
  <si>
    <t xml:space="preserve">London office access cannot be revoked on termination</t>
  </si>
  <si>
    <t xml:space="preserve">Departing worker</t>
  </si>
  <si>
    <t xml:space="preserve">Continued physical access to the London premises after the effective leaving date</t>
  </si>
  <si>
    <t xml:space="preserve">Access credentials are issued and administered by the building landlord. Aldridge cannot produce a holder list, cannot revoke directly, and receives no entry logs (W-11).</t>
  </si>
  <si>
    <t xml:space="preserve">Logical access revoked within four hours regardless of physical access; no production processing on premises; Confidential material subject to clear desk requirements.</t>
  </si>
  <si>
    <t xml:space="preserve">Internal: revocation depends on a landlord request with no confirmed service level; occurrence probable on any given termination.</t>
  </si>
  <si>
    <t xml:space="preserve">R-27</t>
  </si>
  <si>
    <t xml:space="preserve">Loss of the individual holding the risk and compliance record</t>
  </si>
  <si>
    <t xml:space="preserve">ISMS</t>
  </si>
  <si>
    <t xml:space="preserve">Key person dependency</t>
  </si>
  <si>
    <t xml:space="preserve">Departure or unavailability of the single worker who maintains risk, exception and compliance records</t>
  </si>
  <si>
    <t xml:space="preserve">Risk, exceptions, policies and access review evidence are held across five uncontrolled spreadsheets maintained by the Head of Security Governance. No version control, approval record or retention rule (W-13).</t>
  </si>
  <si>
    <t xml:space="preserve">Files held in corporate cloud storage with backup; the ERC receives periodic reporting derived from them.</t>
  </si>
  <si>
    <t xml:space="preserve">Single individual maintains the records; departure probability over a 12-month horizon.</t>
  </si>
  <si>
    <t xml:space="preserve">Chidi Eze</t>
  </si>
  <si>
    <t xml:space="preserve">31 Dec 2026</t>
  </si>
  <si>
    <t xml:space="preserve">R-28</t>
  </si>
  <si>
    <t xml:space="preserve">Regulatory change outpaces compliance capability</t>
  </si>
  <si>
    <t xml:space="preserve">Group</t>
  </si>
  <si>
    <t xml:space="preserve">External regulatory change</t>
  </si>
  <si>
    <t xml:space="preserve">New or amended obligations across 44 state licences, FCA rules or payment brand requirements are not implemented in time</t>
  </si>
  <si>
    <t xml:space="preserve">Broad and fragmented obligation surface across two jurisdictions and multiple regimes.</t>
  </si>
  <si>
    <t xml:space="preserve">Obligations register maintained by Legal and reviewed quarterly; external counsel in both jurisdictions; trade association membership; PCI future-dated requirements tracked.</t>
  </si>
  <si>
    <t xml:space="preserve">Regulatory change frequency across 44 state regimes, FCA and PCI future-dated requirements.</t>
  </si>
  <si>
    <t xml:space="preserve">Jonathan Reyes</t>
  </si>
  <si>
    <t xml:space="preserve">R-29</t>
  </si>
  <si>
    <t xml:space="preserve">Targeted intrusion by a well-resourced adversary</t>
  </si>
  <si>
    <t xml:space="preserve">A-01, A-02, A-05, A-15</t>
  </si>
  <si>
    <t xml:space="preserve">Organised criminal group or state-aligned actor</t>
  </si>
  <si>
    <t xml:space="preserve">Sustained, targeted campaign against a payments and lending platform, using techniques selected to evade current detection</t>
  </si>
  <si>
    <t xml:space="preserve">No formal threat intelligence capability: intelligence is a by-product of tooling, with no defined requirements, analysis or dissemination (W-05). Detection content is not mapped to a threat framework, so coverage cannot be measured (A.8.16).</t>
  </si>
  <si>
    <t xml:space="preserve">EDR with 98% coverage; 24/7 SOC; network segregation; phishing-resistant privileged authentication; comprehensive logging for the Pay estate; annual penetration testing.</t>
  </si>
  <si>
    <t xml:space="preserve">Sector targeting data for payments and lending platforms. L3 inherent reflects intent and capability; residual L2 reflects detection strength for the Pay estate only.</t>
  </si>
  <si>
    <t xml:space="preserve">R-30</t>
  </si>
  <si>
    <t xml:space="preserve">Confidential data leaves through endpoint channels not covered by prevention</t>
  </si>
  <si>
    <t xml:space="preserve">A-20, A-17</t>
  </si>
  <si>
    <t xml:space="preserve">Worker (non-malicious) or departing worker</t>
  </si>
  <si>
    <t xml:space="preserve">Copying of Confidential material to removable media, personal cloud sync or personal webmail</t>
  </si>
  <si>
    <t xml:space="preserve">DLP covers corporate mail and drive sharing but not endpoint channels, Snowflake query egress, or the unregistered SaaS estate (A.8.12).</t>
  </si>
  <si>
    <t xml:space="preserve">Removable media restricted by device management and blocked for personal devices; automatic external mail forwarding blocked; POL-01 prohibits forwarding to personal accounts; endpoint encryption.</t>
  </si>
  <si>
    <t xml:space="preserve">Internal: DLP coverage gap confirmed; endpoint channel activity is not monitored, so occurrence cannot be excluded.</t>
  </si>
  <si>
    <t xml:space="preserve">R-31</t>
  </si>
  <si>
    <t xml:space="preserve">Sanctioned party onboarded as a merchant or borrower</t>
  </si>
  <si>
    <t xml:space="preserve">A-01, A-03</t>
  </si>
  <si>
    <t xml:space="preserve">TA-09</t>
  </si>
  <si>
    <t xml:space="preserve">Sanctions evader (TA-09)</t>
  </si>
  <si>
    <t xml:space="preserve">Onboarding of an entity or individual subject to OFAC or UK sanctions, or processing a payment on their behalf</t>
  </si>
  <si>
    <t xml:space="preserve">US sanctions liability is strict: no knowledge or intent is required. Screening depends on name matching against automated onboarding, and beneficial ownership is not consistently established for merchant entities.</t>
  </si>
  <si>
    <t xml:space="preserve">Screening against SDN and consolidated lists at onboarding and on each payment; daily list refresh; manual review queue for fuzzy matches; sponsor bank performs independent screening as a second line.</t>
  </si>
  <si>
    <t xml:space="preserve">Sector data on sanctions screening false negatives; adjusted for automated onboarding volume and incomplete beneficial ownership data. Strict liability means impact does not depend on intent.</t>
  </si>
  <si>
    <t xml:space="preserve">R-32</t>
  </si>
  <si>
    <t xml:space="preserve">Platform used to launder criminal proceeds</t>
  </si>
  <si>
    <t xml:space="preserve">A-01, A-06</t>
  </si>
  <si>
    <t xml:space="preserve">Money launderer (TA-09)</t>
  </si>
  <si>
    <t xml:space="preserve">Layering of illicit funds through merchant settlement or loan repayment flows without detection</t>
  </si>
  <si>
    <t xml:space="preserve">Transaction monitoring rules were tuned for fraud rather than for laundering typologies. No documented typology coverage assessment. Rapid merchant growth increases the onboarding population faster than review capacity.</t>
  </si>
  <si>
    <t xml:space="preserve">Transaction monitoring with alerting; merchant risk scoring at onboarding; enhanced due diligence for high-risk categories; annual independent BSA testing; sponsor bank oversight.</t>
  </si>
  <si>
    <t xml:space="preserve">Onboarding volume growth of 28% year on year against static review capacity; typology coverage unassessed.</t>
  </si>
  <si>
    <t xml:space="preserve">R-33</t>
  </si>
  <si>
    <t xml:space="preserve">Suspicious activity report not filed for a reportable cyber-event</t>
  </si>
  <si>
    <t xml:space="preserve">Internal process failure (TA-10)</t>
  </si>
  <si>
    <t xml:space="preserve">A security incident meeting the SAR filing threshold is handled as a security matter only and the filing obligation is missed</t>
  </si>
  <si>
    <t xml:space="preserve">POL-02 section 7 lists regulatory notification obligations and does not include FinCEN SAR filing. There is no defined trigger connecting incident severity to the financial crime team, so the assessment is not made.</t>
  </si>
  <si>
    <t xml:space="preserve">SAR process operates for transaction-based suspicion; financial crime team is competent in the obligation; General Counsel determines notification obligations at S1 and S2.</t>
  </si>
  <si>
    <t xml:space="preserve">Condition present: no trigger exists connecting incident severity to the SAR assessment. Occurrence depends only on an incident meeting the threshold.</t>
  </si>
  <si>
    <t xml:space="preserve">R-34</t>
  </si>
  <si>
    <t xml:space="preserve">Synthetic identity defeats customer identification at borrower onboarding</t>
  </si>
  <si>
    <t xml:space="preserve">TA-03</t>
  </si>
  <si>
    <t xml:space="preserve">Lending fraud ring (TA-03)</t>
  </si>
  <si>
    <t xml:space="preserve">Fabricated or composite identities pass CIP checks and obtain credit, producing loss and a CIP programme deficiency</t>
  </si>
  <si>
    <t xml:space="preserve">Automated decisioning optimises for conversion. Document verification is automated with a manual review threshold that has been raised twice in 18 months to manage volume.</t>
  </si>
  <si>
    <t xml:space="preserve">CIP checks against bureau and government data sources; document verification; device and behavioural signals; manual review above a risk threshold; bust-out pattern monitoring in servicing.</t>
  </si>
  <si>
    <t xml:space="preserve">Sector data on synthetic identity in unsecured SME lending; adjusted upward for two increases to the manual review threshold in 18 months.</t>
  </si>
  <si>
    <t xml:space="preserve">R-35</t>
  </si>
  <si>
    <t xml:space="preserve">Sanctions list update is not applied before screening runs</t>
  </si>
  <si>
    <t xml:space="preserve">A newly designated party is screened against a stale list and is not detected</t>
  </si>
  <si>
    <t xml:space="preserve">List ingestion is automated but has no monitored failure alert. A silent ingestion failure would not be noticed until the next reconciliation.</t>
  </si>
  <si>
    <t xml:space="preserve">Daily automated list refresh; screening at onboarding and per payment; sponsor bank independent screening provides a compensating second line.</t>
  </si>
  <si>
    <t xml:space="preserve">No monitored alert on ingestion failure; silent failure would persist until reconciliation.</t>
  </si>
  <si>
    <t xml:space="preserve">R-36</t>
  </si>
  <si>
    <t xml:space="preserve">Concentration on a single cloud provider with no assessed exit</t>
  </si>
  <si>
    <t xml:space="preserve">A-01 to A-07, A-09, A-14, A-15</t>
  </si>
  <si>
    <t xml:space="preserve">Supplier failure (TA-10)</t>
  </si>
  <si>
    <t xml:space="preserve">Provider-level failure, commercial termination, or regulatory restriction removes the platform on which the entire business operates</t>
  </si>
  <si>
    <t xml:space="preserve">One hundred per cent of production runs on AWS. There is no exit assessment, no portability analysis, and no estimate of migration cost or duration. Multi-region is not multi-provider: a provider-level or account-level event affects both regions.</t>
  </si>
  <si>
    <t xml:space="preserve">Multi-region architecture within the provider; infrastructure defined as code for 80% of the estate, which would assist portability; enterprise support agreement.</t>
  </si>
  <si>
    <t xml:space="preserve">L2 reflects the low probability of a provider-level event in any 12-month window. The impact, not the likelihood, drives this risk.</t>
  </si>
  <si>
    <t xml:space="preserve">R-37</t>
  </si>
  <si>
    <t xml:space="preserve">Cross-account trust misconfiguration exposes production from a lower environment</t>
  </si>
  <si>
    <t xml:space="preserve">A-15, A-01</t>
  </si>
  <si>
    <t xml:space="preserve">Sophisticated attacker (TA-08)</t>
  </si>
  <si>
    <t xml:space="preserve">An over-permissive IAM role trust policy permits privilege escalation across the account boundary</t>
  </si>
  <si>
    <t xml:space="preserve">Account separation is the primary control for environment isolation; a trust policy error would undermine it silently.</t>
  </si>
  <si>
    <t xml:space="preserve">Wiz continuous posture monitoring with cross-account path analysis; service control policies at the organisation level; Terraform-managed IAM for the codified estate; quarterly review of cross-account roles.</t>
  </si>
  <si>
    <t xml:space="preserve">Sector data on cross-account misconfiguration; residual L2 reflects continuous posture monitoring with path analysis.</t>
  </si>
  <si>
    <t xml:space="preserve">R-38</t>
  </si>
  <si>
    <t xml:space="preserve">Loss of the identity provider halts all authenticated access</t>
  </si>
  <si>
    <t xml:space="preserve">Extended unavailability or compromise of Okta prevents every worker and administrative session from authenticating</t>
  </si>
  <si>
    <t xml:space="preserve">Federation to a single identity provider is the intended design and is a deliberate concentration. Break-glass procedures exist for the cloud estate but not for the wider SaaS estate.</t>
  </si>
  <si>
    <t xml:space="preserve">Break-glass credentials under dual custody for AWS; provider availability commitment; session persistence limits the immediate blast radius of a short outage.</t>
  </si>
  <si>
    <t xml:space="preserve">Provider availability history and published incident record for major identity providers.</t>
  </si>
  <si>
    <t xml:space="preserve">R-39</t>
  </si>
  <si>
    <t xml:space="preserve">Legacy supplier contracts leave Aldridge without enforceable security rights</t>
  </si>
  <si>
    <t xml:space="preserve">Supplier estate</t>
  </si>
  <si>
    <t xml:space="preserve">An incident or dispute arises with a supplier whose contract contains no notification, audit, cooperation or data return obligation</t>
  </si>
  <si>
    <t xml:space="preserve">Eight Tier 1 and Tier 2 agreements predate the 2023 security schedule, including Northgate Analytics on the payment authorisation path. Aldridge has no contractual remedy and no evidence right.</t>
  </si>
  <si>
    <t xml:space="preserve">Confidentiality terms present in all agreements; commercial relationship provides informal leverage; POL-09 applies the current schedule to all new and renewed contracts.</t>
  </si>
  <si>
    <t xml:space="preserve">Condition present: eight agreements confirmed to lack the security schedule. Likelihood reflects the probability of an incident or dispute arising with one of them.</t>
  </si>
  <si>
    <t xml:space="preserve">R-40</t>
  </si>
  <si>
    <t xml:space="preserve">Financial failure of a Tier 1 supplier</t>
  </si>
  <si>
    <t xml:space="preserve">Insolvency or distress at a critical supplier removes the service at short notice</t>
  </si>
  <si>
    <t xml:space="preserve">Supplier financial viability is not assessed at onboarding or reassessment. Northgate is a private company whose financial position Aldridge has never reviewed.</t>
  </si>
  <si>
    <t xml:space="preserve">Rules-based fallback for fraud decisioning; contractual notice periods; the supplier is established and has an institutional customer base.</t>
  </si>
  <si>
    <t xml:space="preserve">No financial assessment has been performed, so the estimate is unsupported. This is itself the finding: L2 is a placeholder pending viability review.</t>
  </si>
  <si>
    <t xml:space="preserve">R-41</t>
  </si>
  <si>
    <t xml:space="preserve">Undetected fourth-party concentration across multiple Tier 1 suppliers</t>
  </si>
  <si>
    <t xml:space="preserve">Supply chain (TA-06)</t>
  </si>
  <si>
    <t xml:space="preserve">Several critical suppliers depend on the same sub-processor, so a single fourth-party failure removes services Aldridge believes to be independent</t>
  </si>
  <si>
    <t xml:space="preserve">Sub-processors are not disclosed or mapped (see R-09), so concentration cannot be measured. Aldridge has no portfolio view of its onward supply chain.</t>
  </si>
  <si>
    <t xml:space="preserve">None specific. First-tier resilience assessed individually, which does not detect shared dependency.</t>
  </si>
  <si>
    <t xml:space="preserve">Condition likely present: shared sub-processor use is the norm in SaaS. It cannot be confirmed because the chain is unmapped.</t>
  </si>
  <si>
    <t xml:space="preserve">R-42</t>
  </si>
  <si>
    <t xml:space="preserve">Fraud and chargeback losses exceed the provision</t>
  </si>
  <si>
    <t xml:space="preserve">Payment fraud syndicate (TA-02)</t>
  </si>
  <si>
    <t xml:space="preserve">A sustained fraud campaign produces losses beyond the modelled provision, with brand monitoring programme consequences</t>
  </si>
  <si>
    <t xml:space="preserve">Fraud decisioning depends on a single external supplier. Loss provisioning is modelled on historic patterns rather than stressed scenarios.</t>
  </si>
  <si>
    <t xml:space="preserve">Real-time fraud decisioning; velocity and value limits; chargeback ratio monitoring against brand thresholds; merchant reserve requirements for higher-risk categories.</t>
  </si>
  <si>
    <t xml:space="preserve">Internal: chargeback ratios tracked monthly and currently within brand thresholds. Likelihood reflects a sustained campaign rather than baseline loss.</t>
  </si>
  <si>
    <t xml:space="preserve">R-43</t>
  </si>
  <si>
    <t xml:space="preserve">Merchant insolvency leaves Aldridge exposed on settled transactions</t>
  </si>
  <si>
    <t xml:space="preserve">Non-adversarial (TA-10)</t>
  </si>
  <si>
    <t xml:space="preserve">A merchant fails with unfulfilled orders, leaving Aldridge liable for chargebacks it cannot recover</t>
  </si>
  <si>
    <t xml:space="preserve">Settlement exposure is a structural feature of acquiring. Merchant credit assessment is performed at onboarding and not consistently refreshed.</t>
  </si>
  <si>
    <t xml:space="preserve">Merchant underwriting at onboarding; reserves and delayed settlement for higher-risk categories; exposure monitoring; sponsor bank oversight.</t>
  </si>
  <si>
    <t xml:space="preserve">Internal: merchant failures occur at low volume annually; exposure has been contained by reserves to date.</t>
  </si>
  <si>
    <t xml:space="preserve">R-44</t>
  </si>
  <si>
    <t xml:space="preserve">Card testing attack degrades authorisation performance and breaches brand thresholds</t>
  </si>
  <si>
    <t xml:space="preserve">A-01, A-10</t>
  </si>
  <si>
    <t xml:space="preserve">High-volume enumeration of card numbers through merchant checkout inflates authorisation volume and decline ratios</t>
  </si>
  <si>
    <t xml:space="preserve">Enumeration is an abuse of legitimate function rather than an intrusion, so intrusion controls do not address it.</t>
  </si>
  <si>
    <t xml:space="preserve">Rate limiting at the merchant endpoint; decline ratio monitoring with alerting; fraud decisioning applies velocity rules; brand programme thresholds tracked monthly.</t>
  </si>
  <si>
    <t xml:space="preserve">Sector data: enumeration attacks against acquiring platforms are frequent. Internal decline ratio monitoring has detected two episodes in 2026.</t>
  </si>
  <si>
    <t xml:space="preserve">R-45</t>
  </si>
  <si>
    <t xml:space="preserve">Data subject access or erasure request cannot be fulfilled within the statutory period</t>
  </si>
  <si>
    <t xml:space="preserve">A UK data subject request cannot be answered completely because personal data locations are not mapped</t>
  </si>
  <si>
    <t xml:space="preserve">The data catalogue covers the CDE and secure data zone. It does not cover the approximately 40 unregistered SaaS applications, collaboration content, or the analytics warehouse in full.</t>
  </si>
  <si>
    <t xml:space="preserve">DSAR process operated by the DPO with a one-month statutory clock; search across catalogued systems; legal advice available.</t>
  </si>
  <si>
    <t xml:space="preserve">Internal: DSAR volume is low but rising. Likelihood reflects the probability that a request touches uncatalogued data.</t>
  </si>
  <si>
    <t xml:space="preserve">Sofia Kallio</t>
  </si>
  <si>
    <t xml:space="preserve">R-46</t>
  </si>
  <si>
    <t xml:space="preserve">Personal data transferred cross-border without a valid transfer mechanism</t>
  </si>
  <si>
    <t xml:space="preserve">Data reaches a third country through a supplier arrangement not covered by an assessed transfer mechanism</t>
  </si>
  <si>
    <t xml:space="preserve">Northgate performs model training in a US region, disclosed only during the September 2026 assessment. No transfer risk assessment exists for it. The undisclosed fourth-party chain (R-09) may contain further transfers.</t>
  </si>
  <si>
    <t xml:space="preserve">Transfer mechanisms documented for known and disclosed flows; DPO reviews new processing arrangements; UK IDTA and SCCs used where applicable.</t>
  </si>
  <si>
    <t xml:space="preserve">Condition present for the Northgate US processing. Further transfers cannot be excluded pending the R-09 mapping.</t>
  </si>
  <si>
    <t xml:space="preserve">R-47</t>
  </si>
  <si>
    <t xml:space="preserve">A breach in unregistered software as a service is not assessed for notification</t>
  </si>
  <si>
    <t xml:space="preserve">A supplier Aldridge does not know it uses suffers a breach; Aldridge learns of it late or not at all and misses a notification deadline</t>
  </si>
  <si>
    <t xml:space="preserve">The approximately 40 unregistered applications have no contract, so no notification obligation binds them, and no owner, so no one is monitoring for their breach disclosures.</t>
  </si>
  <si>
    <t xml:space="preserve">None specific until the A.5.23 triage completes.</t>
  </si>
  <si>
    <t xml:space="preserve">Condition present: 40 applications with no contract and no owner monitoring for disclosure.</t>
  </si>
  <si>
    <t xml:space="preserve">R-48</t>
  </si>
  <si>
    <t xml:space="preserve">Certificate or key expiry causes an unplanned production outage</t>
  </si>
  <si>
    <t xml:space="preserve">A-01, A-06, A-07</t>
  </si>
  <si>
    <t xml:space="preserve">An expired TLS certificate or rotated key breaks a production integration</t>
  </si>
  <si>
    <t xml:space="preserve">The cryptographic key inventory is incomplete and several legacy Aldridge Pay keys have unclear ownership (W-16), so expiry cannot be reliably forecast for those.</t>
  </si>
  <si>
    <t xml:space="preserve">Automated certificate management for the codified estate; expiry monitoring and alerting; change freeze discipline around renewals.</t>
  </si>
  <si>
    <t xml:space="preserve">Internal: two near-miss expiry events in 2026 caught by monitoring, both in the codified estate. The uncodified estate is unmonitored.</t>
  </si>
  <si>
    <t xml:space="preserve">R-49</t>
  </si>
  <si>
    <t xml:space="preserve">Sponsor bank restricts or terminates the relationship following a control failure</t>
  </si>
  <si>
    <t xml:space="preserve">A-01, Group</t>
  </si>
  <si>
    <t xml:space="preserve">The partner bank withdraws or restricts sponsorship after an examination finding, a material incident, or a BSA/AML deficiency</t>
  </si>
  <si>
    <t xml:space="preserve">The sponsor bank relationship underpins US deposit and settlement operations. There is no assessed alternative sponsor and no estimate of the time required to secure one.</t>
  </si>
  <si>
    <t xml:space="preserve">Regular reporting to the sponsor bank; independent BSA testing; strong PCI position; established relationship with no adverse history.</t>
  </si>
  <si>
    <t xml:space="preserve">No adverse history. L2 reflects the probability of a trigger event severe enough to prompt withdrawal, not the probability of ordinary friction.</t>
  </si>
  <si>
    <t xml:space="preserve">R-50</t>
  </si>
  <si>
    <t xml:space="preserve">State money transmitter licence condition imposed following examination</t>
  </si>
  <si>
    <t xml:space="preserve">A state examination identifies a deficiency resulting in a condition, penalty or licence restriction</t>
  </si>
  <si>
    <t xml:space="preserve">Forty-four licences with differing examination cycles and expectations. Evidence production across jurisdictions is manual.</t>
  </si>
  <si>
    <t xml:space="preserve">Compliance calendar maintained by Legal; examination preparation process; no adverse findings in the last three cycles.</t>
  </si>
  <si>
    <t xml:space="preserve">Internal: no adverse findings in the last three examination cycles across the licence portfolio.</t>
  </si>
  <si>
    <t xml:space="preserve">R-51</t>
  </si>
  <si>
    <t xml:space="preserve">The NYDFS Part 500 CISO certification cannot be given truthfully</t>
  </si>
  <si>
    <t xml:space="preserve">The annual certification of compliance to the Superintendent cannot be signed because material programme requirements are unmet</t>
  </si>
  <si>
    <t xml:space="preserve">Part 500 requires a documented cybersecurity programme, risk assessment, and specified controls. The gap analysis found 24 of 25 ISO management system requirements unmet, several of which map directly to Part 500 obligations including the risk assessment requirement.</t>
  </si>
  <si>
    <t xml:space="preserve">Strong technical controls in access management, encryption and vulnerability management; incident response capability; the certification programme is closing the governance gap.</t>
  </si>
  <si>
    <t xml:space="preserve">Condition present: the risk assessment and governance requirements underpinning the certification are not yet met. Likelihood reflects whether they close before the certification date.</t>
  </si>
  <si>
    <t xml:space="preserve">R-52</t>
  </si>
  <si>
    <t xml:space="preserve">Key person dependency in the uncodified platform estate</t>
  </si>
  <si>
    <t xml:space="preserve">Departure of the small number of engineers who understand the semi-manual Aldridge Pay components</t>
  </si>
  <si>
    <t xml:space="preserve">Approximately 20% of the Pay estate is not defined as code and is not documented to a standard that would permit another engineer to operate it (W-12). Knowledge is held by three individuals.</t>
  </si>
  <si>
    <t xml:space="preserve">Runbooks exist for routine operations; the components are stable; the codification programme will remove the dependency when complete.</t>
  </si>
  <si>
    <t xml:space="preserve">Internal: knowledge held by three named engineers; departure probability over a 12-month horizon for a group of that size.</t>
  </si>
  <si>
    <t xml:space="preserve">R-53</t>
  </si>
  <si>
    <t xml:space="preserve">Backup restore fails at the point of need for the Credit estate</t>
  </si>
  <si>
    <t xml:space="preserve">A-03, A-04, A-05</t>
  </si>
  <si>
    <t xml:space="preserve">A restore is required and fails, or completes outside the recovery objective, because it has never been performed</t>
  </si>
  <si>
    <t xml:space="preserve">A full restore of the Aldridge Credit servicing estate has never been performed (W-07). Component-level testing does not validate a full restore of an interdependent estate.</t>
  </si>
  <si>
    <t xml:space="preserve">Automated encrypted backups with cross-region replication; component-level restore tested quarterly; backup completion monitored.</t>
  </si>
  <si>
    <t xml:space="preserve">Internal: full restore never performed. Likelihood reflects the probability of a triggering event combined with untested restore failure rates.</t>
  </si>
  <si>
    <t xml:space="preserve">R-54</t>
  </si>
  <si>
    <t xml:space="preserve">Restricted data submitted to unapproved generative AI tools</t>
  </si>
  <si>
    <t xml:space="preserve">A-05, A-13, A-17</t>
  </si>
  <si>
    <t xml:space="preserve">Worker, non-malicious (TA-10)</t>
  </si>
  <si>
    <t xml:space="preserve">A worker pastes customer data, credit file content or proprietary source code into a consumer AI service to accelerate a task</t>
  </si>
  <si>
    <t xml:space="preserve">POL-01 section 3.6 prohibits it and no technical control enforces it. Consumer AI services are reachable from managed endpoints, and several appear in the unregistered application discovery (W-04). Submitted content may be retained and used for training.</t>
  </si>
  <si>
    <t xml:space="preserve">POL-01 prohibition; approved tooling register maintained; awareness training covers the topic generically; web gateway blocks a small number of named services.</t>
  </si>
  <si>
    <t xml:space="preserve">Internal: consumer AI services identified in the CASB discovery output. Sector surveys indicate high rates of unsanctioned use. Occurrence is probable and undetected.</t>
  </si>
  <si>
    <t xml:space="preserve">R-55</t>
  </si>
  <si>
    <t xml:space="preserve">Compliance evidence cannot be produced on demand at examination or audit</t>
  </si>
  <si>
    <t xml:space="preserve">A regulator, certification body or customer requests evidence that exists but cannot be located, versioned or attested within the time allowed</t>
  </si>
  <si>
    <t xml:space="preserve">Policies, exceptions, risks, control evidence and access review records are held across five uncontrolled spreadsheets with no version control or approval record (W-13).</t>
  </si>
  <si>
    <t xml:space="preserve">Evidence does substantively exist; the security team can assemble it with effort; PCI evidence production is mature and separately organised.</t>
  </si>
  <si>
    <t xml:space="preserve">Condition present: five uncontrolled spreadsheets. Likelihood reflects the probability of a demand arriving within the period before the GRC platform is implemented.</t>
  </si>
  <si>
    <t xml:space="preserve">Risk Treatment Plan</t>
  </si>
  <si>
    <t xml:space="preserve">Satisfies ISO/IEC 27001 clause 6.1.3(e) and (f). Yellow cells are signature blocks to be completed by the named risk owner.</t>
  </si>
  <si>
    <t xml:space="preserve">Treatment option</t>
  </si>
  <si>
    <t xml:space="preserve">Treatment action</t>
  </si>
  <si>
    <t xml:space="preserve">Action owner</t>
  </si>
  <si>
    <t xml:space="preserve">Risk owner (accountable executive)</t>
  </si>
  <si>
    <t xml:space="preserve">Acceptance authority required</t>
  </si>
  <si>
    <t xml:space="preserve">Risk owner approval — signature</t>
  </si>
  <si>
    <t xml:space="preserve">Date approved</t>
  </si>
  <si>
    <t xml:space="preserve">Per remediation actions in AFT-ISMS-GAP-01 and the findings referenced at column Y of the register. Treatment target: residual within the tolerance at column T.</t>
  </si>
  <si>
    <t xml:space="preserve">No further treatment. Existing controls assessed as sufficient; residual accepted at the authority shown.</t>
  </si>
  <si>
    <t xml:space="preserve">Clause 6.1.3(f) requires the risk owner to approve the risk treatment plan and to accept the residual information security risk. The signature columns are unsigned. Until they are completed, the ISMS does not satisfy clause 6.1.3 irrespective of the quality of the assessment, and this is a certification-blocking condition. Acceptance authority in column J is the level at which the residual may be accepted per AFT-CTX-01 section 16; it does not replace the risk owner's own approval, which is required in every case.</t>
  </si>
  <si>
    <t xml:space="preserve">Risk Summary</t>
  </si>
  <si>
    <t xml:space="preserve">All counts are formulas driven by the Risk Register tab.</t>
  </si>
  <si>
    <t xml:space="preserve">RESIDUAL RISK PROFILE</t>
  </si>
  <si>
    <t xml:space="preserve">Inherent</t>
  </si>
  <si>
    <t xml:space="preserve">Residual</t>
  </si>
  <si>
    <t xml:space="preserve">Movement</t>
  </si>
  <si>
    <t xml:space="preserve">Critical</t>
  </si>
  <si>
    <t xml:space="preserve">Total risks</t>
  </si>
  <si>
    <t xml:space="preserve">APPETITE AND GOVERNANCE POSITION</t>
  </si>
  <si>
    <t xml:space="preserve">Risks exceeding appetite</t>
  </si>
  <si>
    <t xml:space="preserve">Risks within appetite</t>
  </si>
  <si>
    <t xml:space="preserve">Requiring Board Audit Committee acceptance</t>
  </si>
  <si>
    <t xml:space="preserve">Requiring Executive Risk Committee acceptance</t>
  </si>
  <si>
    <t xml:space="preserve">Treatment: Treat</t>
  </si>
  <si>
    <t xml:space="preserve">Treatment: Tolerate</t>
  </si>
  <si>
    <t xml:space="preserve">Risk owner approvals outstanding</t>
  </si>
  <si>
    <t xml:space="preserve">RISKS BY THREAT SOURCE</t>
  </si>
  <si>
    <t xml:space="preserve">Risks</t>
  </si>
  <si>
    <t xml:space="preserve">Exceeding appetite</t>
  </si>
  <si>
    <t xml:space="preserve">TA-01 — Organised cybercriminal (extortion)</t>
  </si>
  <si>
    <t xml:space="preserve">TA-02 — Payment fraud syndicate</t>
  </si>
  <si>
    <t xml:space="preserve">TA-03 — Lending fraud ring</t>
  </si>
  <si>
    <t xml:space="preserve">TA-04 — Initial access broker / phishing crew</t>
  </si>
  <si>
    <t xml:space="preserve">TA-05 — Malicious or coerced insider</t>
  </si>
  <si>
    <t xml:space="preserve">TA-06 — Supply chain / sub-processor</t>
  </si>
  <si>
    <t xml:space="preserve">TA-07 — Hacktivist / DDoS extortion</t>
  </si>
  <si>
    <t xml:space="preserve">TA-08 — State-aligned actor</t>
  </si>
  <si>
    <t xml:space="preserve">TA-09 — Sanctions evader / money launderer</t>
  </si>
  <si>
    <t xml:space="preserve">TA-10 — Non-adversarial</t>
  </si>
  <si>
    <t xml:space="preserve">RESIDUAL HEAT MAP</t>
  </si>
  <si>
    <t xml:space="preserve">Impact ↓ / Likelihood →</t>
  </si>
  <si>
    <t xml:space="preserve">L1</t>
  </si>
  <si>
    <t xml:space="preserve">L2</t>
  </si>
  <si>
    <t xml:space="preserve">L3</t>
  </si>
  <si>
    <t xml:space="preserve">L4</t>
  </si>
  <si>
    <t xml:space="preserve">L5</t>
  </si>
  <si>
    <t xml:space="preserve">I5</t>
  </si>
  <si>
    <t xml:space="preserve">I4</t>
  </si>
  <si>
    <t xml:space="preserve">I3</t>
  </si>
  <si>
    <t xml:space="preserve">I2</t>
  </si>
  <si>
    <t xml:space="preserve">I1</t>
  </si>
  <si>
    <t xml:space="preserve">GOVERNANCE OBSERVATION. A large number of risks sit outside appetite. That is a function of the appetite statement as much as of the control environment: AFT-CTX-01 section 7.4 sets an Averse appetite for both data confidentiality and regulatory compliance, capping acceptable residual at Moderate for the two categories that cover most of the register. An appetite that generates an exceedance list longer than the treatment programme can clear within the year is either aspirational or under-resourced, and the ERC should resolve which. The options are to fund treatment at the level the appetite implies, or to restate the appetite at a level the organisation is actually prepared to operate to. Carrying a permanent exceedance list is the worst of the three, because it normalises operating outside a stated appetite and devalues the escalation it is supposed to trigger.</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</si>
</sst>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44546A"/>
      <name val="Arial"/>
      <family val="0"/>
      <charset val="1"/>
    </font>
    <font>
      <sz val="10"/>
      <color rgb="FF000000"/>
      <name val="Arial"/>
      <family val="0"/>
      <charset val="1"/>
    </font>
    <font>
      <sz val="10"/>
      <name val="Arial"/>
      <family val="0"/>
      <charset val="1"/>
    </font>
    <font>
      <b val="true"/>
      <sz val="10"/>
      <color rgb="FF1F3864"/>
      <name val="Arial"/>
      <family val="0"/>
      <charset val="1"/>
    </font>
    <font>
      <b val="true"/>
      <sz val="9"/>
      <color rgb="FFFFFFFF"/>
      <name val="Arial"/>
      <family val="0"/>
      <charset val="1"/>
    </font>
    <font>
      <b val="true"/>
      <sz val="9"/>
      <name val="Arial"/>
      <family val="0"/>
      <charset val="1"/>
    </font>
    <font>
      <sz val="9"/>
      <name val="Arial"/>
      <family val="0"/>
      <charset val="1"/>
    </font>
    <font>
      <b val="true"/>
      <sz val="11"/>
      <color rgb="FF1F3864"/>
      <name val="Arial"/>
      <family val="0"/>
      <charset val="1"/>
    </font>
    <font>
      <b val="true"/>
      <sz val="11"/>
      <name val="Arial"/>
      <family val="0"/>
      <charset val="1"/>
    </font>
  </fonts>
  <fills count="10">
    <fill>
      <patternFill patternType="none"/>
    </fill>
    <fill>
      <patternFill patternType="gray125"/>
    </fill>
    <fill>
      <patternFill patternType="solid">
        <fgColor rgb="FFD6DCE8"/>
        <bgColor rgb="FFD9EAD3"/>
      </patternFill>
    </fill>
    <fill>
      <patternFill patternType="solid">
        <fgColor rgb="FF1F3864"/>
        <bgColor rgb="FF333333"/>
      </patternFill>
    </fill>
    <fill>
      <patternFill patternType="solid">
        <fgColor rgb="FFF4B7B7"/>
        <bgColor rgb="FFFF99CC"/>
      </patternFill>
    </fill>
    <fill>
      <patternFill patternType="solid">
        <fgColor rgb="FFF2F4F8"/>
        <bgColor rgb="FFFFFFFF"/>
      </patternFill>
    </fill>
    <fill>
      <patternFill patternType="solid">
        <fgColor rgb="FFFCEBA4"/>
        <bgColor rgb="FFFFF2CC"/>
      </patternFill>
    </fill>
    <fill>
      <patternFill patternType="solid">
        <fgColor rgb="FFD9EAD3"/>
        <bgColor rgb="FFD6DCE8"/>
      </patternFill>
    </fill>
    <fill>
      <patternFill patternType="solid">
        <fgColor rgb="FFFFF2CC"/>
        <bgColor rgb="FFFCEBA4"/>
      </patternFill>
    </fill>
    <fill>
      <patternFill patternType="solid">
        <fgColor rgb="FFE06666"/>
        <bgColor rgb="FFFF66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0" fillId="8" borderId="1" xfId="0" applyFont="fals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10" fillId="9"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4" fontId="10" fillId="7"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5" fontId="13" fillId="6" borderId="1" xfId="0" applyFont="true" applyBorder="true" applyAlignment="true" applyProtection="false">
      <alignment horizontal="center" vertical="center" textRotation="0" wrapText="false" indent="0" shrinkToFit="false"/>
      <protection locked="true" hidden="false"/>
    </xf>
    <xf numFmtId="165" fontId="13" fillId="4" borderId="1" xfId="0" applyFont="true" applyBorder="true" applyAlignment="true" applyProtection="false">
      <alignment horizontal="center" vertical="center" textRotation="0" wrapText="false" indent="0" shrinkToFit="false"/>
      <protection locked="true" hidden="false"/>
    </xf>
    <xf numFmtId="165" fontId="13" fillId="9" borderId="1" xfId="0" applyFont="true" applyBorder="true" applyAlignment="true" applyProtection="false">
      <alignment horizontal="center" vertical="center" textRotation="0" wrapText="false" indent="0" shrinkToFit="false"/>
      <protection locked="true" hidden="false"/>
    </xf>
    <xf numFmtId="165" fontId="13" fillId="7"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F2F4F8"/>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4B7B7"/>
          <bgColor rgb="FF000000"/>
        </patternFill>
      </fill>
    </dxf>
    <dxf>
      <fill>
        <patternFill patternType="solid">
          <fgColor rgb="FFFCEBA4"/>
          <bgColor rgb="FF000000"/>
        </patternFill>
      </fill>
    </dxf>
    <dxf>
      <fill>
        <patternFill patternType="solid">
          <fgColor rgb="FFE06666"/>
          <bgColor rgb="FF000000"/>
        </patternFill>
      </fill>
    </dxf>
    <dxf>
      <fill>
        <patternFill>
          <bgColor rgb="FFE06666"/>
        </patternFill>
      </fill>
    </dxf>
    <dxf>
      <fill>
        <patternFill>
          <bgColor rgb="FFF4B7B7"/>
        </patternFill>
      </fill>
    </dxf>
    <dxf>
      <fill>
        <patternFill>
          <bgColor rgb="FFFCEBA4"/>
        </patternFill>
      </fill>
    </dxf>
    <dxf>
      <fill>
        <patternFill>
          <bgColor rgb="FFD9EAD3"/>
        </patternFill>
      </fill>
    </dxf>
    <dxf>
      <font>
        <name val="Arial"/>
        <charset val="1"/>
        <family val="0"/>
        <b val="1"/>
        <color rgb="FFFFFFFF"/>
        <sz val="9"/>
      </font>
      <fill>
        <patternFill>
          <bgColor rgb="FFE06666"/>
        </patternFill>
      </fill>
    </dxf>
    <dxf>
      <fill>
        <patternFill patternType="solid">
          <fgColor rgb="FFFFF2CC"/>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4F8"/>
      <rgbColor rgb="FF660066"/>
      <rgbColor rgb="FFE06666"/>
      <rgbColor rgb="FF0066CC"/>
      <rgbColor rgb="FFD6DCE8"/>
      <rgbColor rgb="FF000080"/>
      <rgbColor rgb="FFFF00FF"/>
      <rgbColor rgb="FFFFFF00"/>
      <rgbColor rgb="FF00FFFF"/>
      <rgbColor rgb="FF800080"/>
      <rgbColor rgb="FF800000"/>
      <rgbColor rgb="FF008080"/>
      <rgbColor rgb="FF0000FF"/>
      <rgbColor rgb="FF00CCFF"/>
      <rgbColor rgb="FFCCFFFF"/>
      <rgbColor rgb="FFD9EAD3"/>
      <rgbColor rgb="FFFCEBA4"/>
      <rgbColor rgb="FF99CCFF"/>
      <rgbColor rgb="FFFF99CC"/>
      <rgbColor rgb="FFCC99FF"/>
      <rgbColor rgb="FFF4B7B7"/>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4"/>
  </cols>
  <sheetData>
    <row r="1" customFormat="false" ht="21.75"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c r="B4" s="4"/>
    </row>
    <row r="5" customFormat="false" ht="15" hidden="false" customHeight="false" outlineLevel="0" collapsed="false">
      <c r="A5" s="5" t="s">
        <v>2</v>
      </c>
      <c r="B5" s="5"/>
      <c r="C5" s="5"/>
      <c r="D5" s="5"/>
      <c r="E5" s="5"/>
      <c r="F5" s="5"/>
    </row>
    <row r="6" customFormat="false" ht="35.05" hidden="false" customHeight="false" outlineLevel="0" collapsed="false">
      <c r="A6" s="3"/>
      <c r="B6" s="4" t="s">
        <v>3</v>
      </c>
    </row>
    <row r="7" customFormat="false" ht="23.85" hidden="false" customHeight="false" outlineLevel="0" collapsed="false">
      <c r="A7" s="3"/>
      <c r="B7" s="4" t="s">
        <v>4</v>
      </c>
    </row>
    <row r="8" customFormat="false" ht="15" hidden="false" customHeight="false" outlineLevel="0" collapsed="false">
      <c r="A8" s="3"/>
      <c r="B8" s="4"/>
    </row>
    <row r="9" customFormat="false" ht="15" hidden="false" customHeight="false" outlineLevel="0" collapsed="false">
      <c r="A9" s="5" t="s">
        <v>5</v>
      </c>
      <c r="B9" s="5"/>
      <c r="C9" s="5"/>
      <c r="D9" s="5"/>
      <c r="E9" s="5"/>
      <c r="F9" s="5"/>
    </row>
    <row r="10" customFormat="false" ht="23.85" hidden="false" customHeight="false" outlineLevel="0" collapsed="false">
      <c r="A10" s="3"/>
      <c r="B10" s="4" t="s">
        <v>6</v>
      </c>
    </row>
    <row r="11" customFormat="false" ht="46.25" hidden="false" customHeight="false" outlineLevel="0" collapsed="false">
      <c r="A11" s="3"/>
      <c r="B11" s="4" t="s">
        <v>7</v>
      </c>
    </row>
    <row r="12" customFormat="false" ht="15" hidden="false" customHeight="false" outlineLevel="0" collapsed="false">
      <c r="A12" s="3"/>
      <c r="B12" s="4"/>
    </row>
    <row r="13" customFormat="false" ht="15" hidden="false" customHeight="false" outlineLevel="0" collapsed="false">
      <c r="A13" s="5" t="s">
        <v>8</v>
      </c>
      <c r="B13" s="5"/>
      <c r="C13" s="5"/>
      <c r="D13" s="5"/>
      <c r="E13" s="5"/>
      <c r="F13" s="5"/>
    </row>
    <row r="14" customFormat="false" ht="57.45" hidden="false" customHeight="false" outlineLevel="0" collapsed="false">
      <c r="A14" s="3"/>
      <c r="B14" s="4" t="s">
        <v>9</v>
      </c>
    </row>
    <row r="15" customFormat="false" ht="15" hidden="false" customHeight="false" outlineLevel="0" collapsed="false">
      <c r="A15" s="3"/>
      <c r="B15" s="4"/>
    </row>
    <row r="16" customFormat="false" ht="15" hidden="false" customHeight="false" outlineLevel="0" collapsed="false">
      <c r="A16" s="5" t="s">
        <v>10</v>
      </c>
      <c r="B16" s="5"/>
      <c r="C16" s="5"/>
      <c r="D16" s="5"/>
      <c r="E16" s="5"/>
      <c r="F16" s="5"/>
    </row>
    <row r="17" customFormat="false" ht="15" hidden="false" customHeight="false" outlineLevel="0" collapsed="false">
      <c r="A17" s="3" t="s">
        <v>11</v>
      </c>
      <c r="B17" s="4" t="s">
        <v>12</v>
      </c>
    </row>
    <row r="18" customFormat="false" ht="15" hidden="false" customHeight="false" outlineLevel="0" collapsed="false">
      <c r="A18" s="3" t="s">
        <v>13</v>
      </c>
      <c r="B18" s="4" t="s">
        <v>14</v>
      </c>
    </row>
    <row r="19" customFormat="false" ht="15" hidden="false" customHeight="false" outlineLevel="0" collapsed="false">
      <c r="A19" s="3" t="s">
        <v>15</v>
      </c>
      <c r="B19" s="4" t="s">
        <v>16</v>
      </c>
    </row>
    <row r="20" customFormat="false" ht="15" hidden="false" customHeight="false" outlineLevel="0" collapsed="false">
      <c r="A20" s="3" t="s">
        <v>17</v>
      </c>
      <c r="B20" s="4" t="s">
        <v>18</v>
      </c>
    </row>
    <row r="21" customFormat="false" ht="15" hidden="false" customHeight="false" outlineLevel="0" collapsed="false">
      <c r="A21" s="3"/>
      <c r="B21" s="4"/>
    </row>
    <row r="22" customFormat="false" ht="15" hidden="false" customHeight="false" outlineLevel="0" collapsed="false">
      <c r="A22" s="5" t="s">
        <v>19</v>
      </c>
      <c r="B22" s="5"/>
      <c r="C22" s="5"/>
      <c r="D22" s="5"/>
      <c r="E22" s="5"/>
      <c r="F22" s="5"/>
    </row>
    <row r="23" customFormat="false" ht="23.85" hidden="false" customHeight="false" outlineLevel="0" collapsed="false">
      <c r="A23" s="3" t="s">
        <v>20</v>
      </c>
      <c r="B23" s="4" t="s">
        <v>21</v>
      </c>
    </row>
    <row r="24" customFormat="false" ht="23.85" hidden="false" customHeight="false" outlineLevel="0" collapsed="false">
      <c r="A24" s="3" t="s">
        <v>22</v>
      </c>
      <c r="B24" s="4" t="s">
        <v>23</v>
      </c>
    </row>
    <row r="25" customFormat="false" ht="15" hidden="false" customHeight="false" outlineLevel="0" collapsed="false">
      <c r="A25" s="3" t="s">
        <v>24</v>
      </c>
      <c r="B25" s="4" t="s">
        <v>25</v>
      </c>
    </row>
    <row r="26" customFormat="false" ht="23.85" hidden="false" customHeight="false" outlineLevel="0" collapsed="false">
      <c r="A26" s="3" t="s">
        <v>26</v>
      </c>
      <c r="B26" s="4" t="s">
        <v>27</v>
      </c>
    </row>
    <row r="27" customFormat="false" ht="15" hidden="false" customHeight="false" outlineLevel="0" collapsed="false">
      <c r="A27" s="3"/>
      <c r="B27" s="4"/>
    </row>
    <row r="28" customFormat="false" ht="15" hidden="false" customHeight="false" outlineLevel="0" collapsed="false">
      <c r="A28" s="5" t="s">
        <v>28</v>
      </c>
      <c r="B28" s="5"/>
      <c r="C28" s="5"/>
      <c r="D28" s="5"/>
      <c r="E28" s="5"/>
      <c r="F28" s="5"/>
    </row>
    <row r="29" customFormat="false" ht="68.65" hidden="false" customHeight="false" outlineLevel="0" collapsed="false">
      <c r="A29" s="3"/>
      <c r="B29" s="4" t="s">
        <v>29</v>
      </c>
    </row>
  </sheetData>
  <mergeCells count="8">
    <mergeCell ref="A1:F1"/>
    <mergeCell ref="A2:F2"/>
    <mergeCell ref="A5:F5"/>
    <mergeCell ref="A9:F9"/>
    <mergeCell ref="A13:F13"/>
    <mergeCell ref="A16:F16"/>
    <mergeCell ref="A22:F22"/>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17"/>
    <col collapsed="false" customWidth="true" hidden="false" outlineLevel="0" max="4" min="4" style="0" width="40"/>
    <col collapsed="false" customWidth="true" hidden="false" outlineLevel="0" max="5" min="5" style="0" width="13"/>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64"/>
  </cols>
  <sheetData>
    <row r="1" customFormat="false" ht="21.75" hidden="false" customHeight="true" outlineLevel="0" collapsed="false">
      <c r="A1" s="1" t="s">
        <v>30</v>
      </c>
      <c r="B1" s="1"/>
      <c r="C1" s="1"/>
      <c r="D1" s="1"/>
      <c r="E1" s="1"/>
      <c r="F1" s="1"/>
      <c r="G1" s="1"/>
      <c r="H1" s="1"/>
      <c r="I1" s="1"/>
    </row>
    <row r="2" customFormat="false" ht="15" hidden="false" customHeight="false" outlineLevel="0" collapsed="false">
      <c r="A2" s="2" t="s">
        <v>31</v>
      </c>
      <c r="B2" s="2"/>
      <c r="C2" s="2"/>
      <c r="D2" s="2"/>
      <c r="E2" s="2"/>
      <c r="F2" s="2"/>
      <c r="G2" s="2"/>
      <c r="H2" s="2"/>
      <c r="I2" s="2"/>
    </row>
    <row r="3" customFormat="false" ht="31.5" hidden="false" customHeight="true" outlineLevel="0" collapsed="false">
      <c r="A3" s="6" t="s">
        <v>32</v>
      </c>
      <c r="B3" s="6" t="s">
        <v>33</v>
      </c>
      <c r="C3" s="6" t="s">
        <v>34</v>
      </c>
      <c r="D3" s="6" t="s">
        <v>35</v>
      </c>
      <c r="E3" s="6" t="s">
        <v>36</v>
      </c>
      <c r="F3" s="6" t="s">
        <v>37</v>
      </c>
      <c r="G3" s="6" t="s">
        <v>38</v>
      </c>
      <c r="H3" s="6" t="s">
        <v>39</v>
      </c>
      <c r="I3" s="6" t="s">
        <v>40</v>
      </c>
    </row>
    <row r="4" customFormat="false" ht="32.8" hidden="false" customHeight="false" outlineLevel="0" collapsed="false">
      <c r="A4" s="7" t="s">
        <v>41</v>
      </c>
      <c r="B4" s="8" t="s">
        <v>42</v>
      </c>
      <c r="C4" s="8" t="s">
        <v>43</v>
      </c>
      <c r="D4" s="8" t="s">
        <v>44</v>
      </c>
      <c r="E4" s="9" t="s">
        <v>45</v>
      </c>
      <c r="F4" s="9" t="s">
        <v>45</v>
      </c>
      <c r="G4" s="9" t="s">
        <v>45</v>
      </c>
      <c r="H4" s="10" t="s">
        <v>45</v>
      </c>
      <c r="I4" s="8" t="s">
        <v>46</v>
      </c>
    </row>
    <row r="5" customFormat="false" ht="22.35" hidden="false" customHeight="false" outlineLevel="0" collapsed="false">
      <c r="A5" s="11" t="s">
        <v>47</v>
      </c>
      <c r="B5" s="12" t="s">
        <v>48</v>
      </c>
      <c r="C5" s="12" t="s">
        <v>43</v>
      </c>
      <c r="D5" s="12" t="s">
        <v>49</v>
      </c>
      <c r="E5" s="9" t="s">
        <v>45</v>
      </c>
      <c r="F5" s="9" t="s">
        <v>45</v>
      </c>
      <c r="G5" s="9" t="s">
        <v>45</v>
      </c>
      <c r="H5" s="10" t="s">
        <v>45</v>
      </c>
      <c r="I5" s="12" t="s">
        <v>50</v>
      </c>
    </row>
    <row r="6" customFormat="false" ht="22.35" hidden="false" customHeight="false" outlineLevel="0" collapsed="false">
      <c r="A6" s="7" t="s">
        <v>51</v>
      </c>
      <c r="B6" s="8" t="s">
        <v>52</v>
      </c>
      <c r="C6" s="8" t="s">
        <v>53</v>
      </c>
      <c r="D6" s="8" t="s">
        <v>54</v>
      </c>
      <c r="E6" s="9" t="s">
        <v>45</v>
      </c>
      <c r="F6" s="9" t="s">
        <v>45</v>
      </c>
      <c r="G6" s="13" t="s">
        <v>55</v>
      </c>
      <c r="H6" s="10" t="s">
        <v>45</v>
      </c>
      <c r="I6" s="8" t="s">
        <v>56</v>
      </c>
    </row>
    <row r="7" customFormat="false" ht="22.35" hidden="false" customHeight="false" outlineLevel="0" collapsed="false">
      <c r="A7" s="11" t="s">
        <v>57</v>
      </c>
      <c r="B7" s="12" t="s">
        <v>58</v>
      </c>
      <c r="C7" s="12" t="s">
        <v>53</v>
      </c>
      <c r="D7" s="12" t="s">
        <v>59</v>
      </c>
      <c r="E7" s="9" t="s">
        <v>45</v>
      </c>
      <c r="F7" s="9" t="s">
        <v>45</v>
      </c>
      <c r="G7" s="13" t="s">
        <v>55</v>
      </c>
      <c r="H7" s="10" t="s">
        <v>45</v>
      </c>
      <c r="I7" s="12" t="s">
        <v>60</v>
      </c>
    </row>
    <row r="8" customFormat="false" ht="22.35" hidden="false" customHeight="false" outlineLevel="0" collapsed="false">
      <c r="A8" s="7" t="s">
        <v>61</v>
      </c>
      <c r="B8" s="8" t="s">
        <v>62</v>
      </c>
      <c r="C8" s="8" t="s">
        <v>53</v>
      </c>
      <c r="D8" s="8" t="s">
        <v>63</v>
      </c>
      <c r="E8" s="9" t="s">
        <v>45</v>
      </c>
      <c r="F8" s="9" t="s">
        <v>45</v>
      </c>
      <c r="G8" s="13" t="s">
        <v>55</v>
      </c>
      <c r="H8" s="10" t="s">
        <v>45</v>
      </c>
      <c r="I8" s="8" t="s">
        <v>64</v>
      </c>
    </row>
    <row r="9" customFormat="false" ht="22.35" hidden="false" customHeight="false" outlineLevel="0" collapsed="false">
      <c r="A9" s="11" t="s">
        <v>65</v>
      </c>
      <c r="B9" s="12" t="s">
        <v>66</v>
      </c>
      <c r="C9" s="12" t="s">
        <v>67</v>
      </c>
      <c r="D9" s="12" t="s">
        <v>68</v>
      </c>
      <c r="E9" s="13" t="s">
        <v>55</v>
      </c>
      <c r="F9" s="9" t="s">
        <v>45</v>
      </c>
      <c r="G9" s="13" t="s">
        <v>55</v>
      </c>
      <c r="H9" s="10" t="s">
        <v>45</v>
      </c>
      <c r="I9" s="12" t="s">
        <v>69</v>
      </c>
    </row>
    <row r="10" customFormat="false" ht="22.35" hidden="false" customHeight="false" outlineLevel="0" collapsed="false">
      <c r="A10" s="7" t="s">
        <v>70</v>
      </c>
      <c r="B10" s="8" t="s">
        <v>71</v>
      </c>
      <c r="C10" s="8" t="s">
        <v>53</v>
      </c>
      <c r="D10" s="8" t="s">
        <v>72</v>
      </c>
      <c r="E10" s="13" t="s">
        <v>55</v>
      </c>
      <c r="F10" s="13" t="s">
        <v>55</v>
      </c>
      <c r="G10" s="13" t="s">
        <v>55</v>
      </c>
      <c r="H10" s="14" t="s">
        <v>55</v>
      </c>
      <c r="I10" s="8" t="s">
        <v>73</v>
      </c>
    </row>
    <row r="11" customFormat="false" ht="22.35" hidden="false" customHeight="false" outlineLevel="0" collapsed="false">
      <c r="A11" s="11" t="s">
        <v>74</v>
      </c>
      <c r="B11" s="12" t="s">
        <v>75</v>
      </c>
      <c r="C11" s="12" t="s">
        <v>76</v>
      </c>
      <c r="D11" s="12" t="s">
        <v>77</v>
      </c>
      <c r="E11" s="15" t="s">
        <v>78</v>
      </c>
      <c r="F11" s="13" t="s">
        <v>55</v>
      </c>
      <c r="G11" s="15" t="s">
        <v>78</v>
      </c>
      <c r="H11" s="14" t="s">
        <v>55</v>
      </c>
      <c r="I11" s="12" t="s">
        <v>79</v>
      </c>
    </row>
    <row r="12" customFormat="false" ht="22.35" hidden="false" customHeight="false" outlineLevel="0" collapsed="false">
      <c r="A12" s="7" t="s">
        <v>80</v>
      </c>
      <c r="B12" s="8" t="s">
        <v>81</v>
      </c>
      <c r="C12" s="8" t="s">
        <v>82</v>
      </c>
      <c r="D12" s="8" t="s">
        <v>83</v>
      </c>
      <c r="E12" s="9" t="s">
        <v>45</v>
      </c>
      <c r="F12" s="13" t="s">
        <v>55</v>
      </c>
      <c r="G12" s="15" t="s">
        <v>78</v>
      </c>
      <c r="H12" s="10" t="s">
        <v>45</v>
      </c>
      <c r="I12" s="8" t="s">
        <v>84</v>
      </c>
    </row>
    <row r="13" customFormat="false" ht="22.35" hidden="false" customHeight="false" outlineLevel="0" collapsed="false">
      <c r="A13" s="11" t="s">
        <v>85</v>
      </c>
      <c r="B13" s="12" t="s">
        <v>86</v>
      </c>
      <c r="C13" s="12" t="s">
        <v>43</v>
      </c>
      <c r="D13" s="12" t="s">
        <v>87</v>
      </c>
      <c r="E13" s="9" t="s">
        <v>45</v>
      </c>
      <c r="F13" s="9" t="s">
        <v>45</v>
      </c>
      <c r="G13" s="9" t="s">
        <v>45</v>
      </c>
      <c r="H13" s="10" t="s">
        <v>45</v>
      </c>
      <c r="I13" s="12" t="s">
        <v>88</v>
      </c>
    </row>
    <row r="14" customFormat="false" ht="22.35" hidden="false" customHeight="false" outlineLevel="0" collapsed="false">
      <c r="A14" s="7" t="s">
        <v>89</v>
      </c>
      <c r="B14" s="8" t="s">
        <v>90</v>
      </c>
      <c r="C14" s="8" t="s">
        <v>91</v>
      </c>
      <c r="D14" s="8" t="s">
        <v>92</v>
      </c>
      <c r="E14" s="9" t="s">
        <v>45</v>
      </c>
      <c r="F14" s="9" t="s">
        <v>45</v>
      </c>
      <c r="G14" s="9" t="s">
        <v>45</v>
      </c>
      <c r="H14" s="10" t="s">
        <v>45</v>
      </c>
      <c r="I14" s="8" t="s">
        <v>93</v>
      </c>
    </row>
    <row r="15" customFormat="false" ht="15" hidden="false" customHeight="false" outlineLevel="0" collapsed="false">
      <c r="A15" s="11" t="s">
        <v>94</v>
      </c>
      <c r="B15" s="12" t="s">
        <v>95</v>
      </c>
      <c r="C15" s="12" t="s">
        <v>96</v>
      </c>
      <c r="D15" s="12" t="s">
        <v>97</v>
      </c>
      <c r="E15" s="9" t="s">
        <v>45</v>
      </c>
      <c r="F15" s="9" t="s">
        <v>45</v>
      </c>
      <c r="G15" s="9" t="s">
        <v>45</v>
      </c>
      <c r="H15" s="10" t="s">
        <v>45</v>
      </c>
      <c r="I15" s="12" t="s">
        <v>98</v>
      </c>
    </row>
    <row r="16" customFormat="false" ht="22.35" hidden="false" customHeight="false" outlineLevel="0" collapsed="false">
      <c r="A16" s="7" t="s">
        <v>99</v>
      </c>
      <c r="B16" s="8" t="s">
        <v>100</v>
      </c>
      <c r="C16" s="8" t="s">
        <v>67</v>
      </c>
      <c r="D16" s="8" t="s">
        <v>101</v>
      </c>
      <c r="E16" s="13" t="s">
        <v>55</v>
      </c>
      <c r="F16" s="9" t="s">
        <v>45</v>
      </c>
      <c r="G16" s="13" t="s">
        <v>55</v>
      </c>
      <c r="H16" s="10" t="s">
        <v>45</v>
      </c>
      <c r="I16" s="8" t="s">
        <v>102</v>
      </c>
    </row>
    <row r="17" customFormat="false" ht="22.35" hidden="false" customHeight="false" outlineLevel="0" collapsed="false">
      <c r="A17" s="11" t="s">
        <v>103</v>
      </c>
      <c r="B17" s="12" t="s">
        <v>104</v>
      </c>
      <c r="C17" s="12" t="s">
        <v>96</v>
      </c>
      <c r="D17" s="12" t="s">
        <v>105</v>
      </c>
      <c r="E17" s="13" t="s">
        <v>55</v>
      </c>
      <c r="F17" s="9" t="s">
        <v>45</v>
      </c>
      <c r="G17" s="13" t="s">
        <v>55</v>
      </c>
      <c r="H17" s="10" t="s">
        <v>45</v>
      </c>
      <c r="I17" s="12" t="s">
        <v>106</v>
      </c>
    </row>
    <row r="18" customFormat="false" ht="22.35" hidden="false" customHeight="false" outlineLevel="0" collapsed="false">
      <c r="A18" s="7" t="s">
        <v>107</v>
      </c>
      <c r="B18" s="8" t="s">
        <v>108</v>
      </c>
      <c r="C18" s="8" t="s">
        <v>96</v>
      </c>
      <c r="D18" s="8" t="s">
        <v>109</v>
      </c>
      <c r="E18" s="9" t="s">
        <v>45</v>
      </c>
      <c r="F18" s="9" t="s">
        <v>45</v>
      </c>
      <c r="G18" s="9" t="s">
        <v>45</v>
      </c>
      <c r="H18" s="10" t="s">
        <v>45</v>
      </c>
      <c r="I18" s="8" t="s">
        <v>110</v>
      </c>
    </row>
    <row r="19" customFormat="false" ht="15" hidden="false" customHeight="false" outlineLevel="0" collapsed="false">
      <c r="A19" s="11" t="s">
        <v>111</v>
      </c>
      <c r="B19" s="12" t="s">
        <v>112</v>
      </c>
      <c r="C19" s="12" t="s">
        <v>113</v>
      </c>
      <c r="D19" s="12" t="s">
        <v>114</v>
      </c>
      <c r="E19" s="13" t="s">
        <v>55</v>
      </c>
      <c r="F19" s="9" t="s">
        <v>45</v>
      </c>
      <c r="G19" s="13" t="s">
        <v>55</v>
      </c>
      <c r="H19" s="10" t="s">
        <v>45</v>
      </c>
      <c r="I19" s="12" t="s">
        <v>115</v>
      </c>
    </row>
    <row r="20" customFormat="false" ht="22.35" hidden="false" customHeight="false" outlineLevel="0" collapsed="false">
      <c r="A20" s="7" t="s">
        <v>116</v>
      </c>
      <c r="B20" s="8" t="s">
        <v>117</v>
      </c>
      <c r="C20" s="8" t="s">
        <v>118</v>
      </c>
      <c r="D20" s="8" t="s">
        <v>119</v>
      </c>
      <c r="E20" s="13" t="s">
        <v>55</v>
      </c>
      <c r="F20" s="13" t="s">
        <v>55</v>
      </c>
      <c r="G20" s="13" t="s">
        <v>55</v>
      </c>
      <c r="H20" s="14" t="s">
        <v>55</v>
      </c>
      <c r="I20" s="8" t="s">
        <v>120</v>
      </c>
    </row>
    <row r="21" customFormat="false" ht="22.35" hidden="false" customHeight="false" outlineLevel="0" collapsed="false">
      <c r="A21" s="11" t="s">
        <v>121</v>
      </c>
      <c r="B21" s="12" t="s">
        <v>122</v>
      </c>
      <c r="C21" s="12" t="s">
        <v>118</v>
      </c>
      <c r="D21" s="12" t="s">
        <v>123</v>
      </c>
      <c r="E21" s="13" t="s">
        <v>55</v>
      </c>
      <c r="F21" s="13" t="s">
        <v>55</v>
      </c>
      <c r="G21" s="15" t="s">
        <v>78</v>
      </c>
      <c r="H21" s="14" t="s">
        <v>55</v>
      </c>
      <c r="I21" s="12" t="s">
        <v>124</v>
      </c>
    </row>
    <row r="22" customFormat="false" ht="22.35" hidden="false" customHeight="false" outlineLevel="0" collapsed="false">
      <c r="A22" s="7" t="s">
        <v>125</v>
      </c>
      <c r="B22" s="8" t="s">
        <v>126</v>
      </c>
      <c r="C22" s="8" t="s">
        <v>127</v>
      </c>
      <c r="D22" s="8" t="s">
        <v>128</v>
      </c>
      <c r="E22" s="13" t="s">
        <v>55</v>
      </c>
      <c r="F22" s="9" t="s">
        <v>45</v>
      </c>
      <c r="G22" s="15" t="s">
        <v>78</v>
      </c>
      <c r="H22" s="10" t="s">
        <v>45</v>
      </c>
      <c r="I22" s="8" t="s">
        <v>129</v>
      </c>
    </row>
    <row r="23" customFormat="false" ht="22.35" hidden="false" customHeight="false" outlineLevel="0" collapsed="false">
      <c r="A23" s="11" t="s">
        <v>130</v>
      </c>
      <c r="B23" s="12" t="s">
        <v>131</v>
      </c>
      <c r="C23" s="12" t="s">
        <v>91</v>
      </c>
      <c r="D23" s="12" t="s">
        <v>132</v>
      </c>
      <c r="E23" s="13" t="s">
        <v>55</v>
      </c>
      <c r="F23" s="13" t="s">
        <v>55</v>
      </c>
      <c r="G23" s="15" t="s">
        <v>78</v>
      </c>
      <c r="H23" s="14" t="s">
        <v>55</v>
      </c>
      <c r="I23" s="12" t="s">
        <v>133</v>
      </c>
    </row>
    <row r="24" customFormat="false" ht="22.35" hidden="false" customHeight="false" outlineLevel="0" collapsed="false">
      <c r="A24" s="7" t="s">
        <v>134</v>
      </c>
      <c r="B24" s="8" t="s">
        <v>135</v>
      </c>
      <c r="C24" s="8" t="s">
        <v>118</v>
      </c>
      <c r="D24" s="8" t="s">
        <v>136</v>
      </c>
      <c r="E24" s="15" t="s">
        <v>78</v>
      </c>
      <c r="F24" s="15" t="s">
        <v>78</v>
      </c>
      <c r="G24" s="13" t="s">
        <v>55</v>
      </c>
      <c r="H24" s="14" t="s">
        <v>55</v>
      </c>
      <c r="I24" s="8" t="s">
        <v>137</v>
      </c>
    </row>
    <row r="25" customFormat="false" ht="15" hidden="false" customHeight="false" outlineLevel="0" collapsed="false">
      <c r="A25" s="11" t="s">
        <v>138</v>
      </c>
      <c r="B25" s="12" t="s">
        <v>139</v>
      </c>
      <c r="C25" s="12" t="s">
        <v>118</v>
      </c>
      <c r="D25" s="12" t="s">
        <v>140</v>
      </c>
      <c r="E25" s="15" t="s">
        <v>78</v>
      </c>
      <c r="F25" s="15" t="s">
        <v>78</v>
      </c>
      <c r="G25" s="15" t="s">
        <v>78</v>
      </c>
      <c r="H25" s="16" t="s">
        <v>78</v>
      </c>
      <c r="I25" s="12" t="s">
        <v>141</v>
      </c>
    </row>
  </sheetData>
  <autoFilter ref="A3:I25"/>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20"/>
    <col collapsed="false" customWidth="true" hidden="false" outlineLevel="0" max="4" min="4" style="0" width="6"/>
    <col collapsed="false" customWidth="true" hidden="false" outlineLevel="0" max="5" min="5" style="0" width="20"/>
    <col collapsed="false" customWidth="true" hidden="false" outlineLevel="0" max="6" min="6" style="0" width="17"/>
    <col collapsed="false" customWidth="true" hidden="false" outlineLevel="0" max="7" min="7" style="0" width="42"/>
    <col collapsed="false" customWidth="true" hidden="false" outlineLevel="0" max="8" min="8" style="0" width="50"/>
    <col collapsed="false" customWidth="true" hidden="false" outlineLevel="0" max="9" min="9" style="0" width="56"/>
    <col collapsed="false" customWidth="true" hidden="false" outlineLevel="0" max="11" min="10" style="0" width="7"/>
    <col collapsed="false" customWidth="true" hidden="false" outlineLevel="0" max="12" min="12" style="0" width="8"/>
    <col collapsed="false" customWidth="true" hidden="false" outlineLevel="0" max="13" min="13" style="0" width="11"/>
    <col collapsed="false" customWidth="true" hidden="false" outlineLevel="0" max="14" min="14" style="0" width="54"/>
    <col collapsed="false" customWidth="true" hidden="false" outlineLevel="0" max="15" min="15" style="0" width="13"/>
    <col collapsed="false" customWidth="true" hidden="false" outlineLevel="0" max="17" min="16" style="0" width="7"/>
    <col collapsed="false" customWidth="true" hidden="false" outlineLevel="0" max="18" min="18" style="0" width="8"/>
    <col collapsed="false" customWidth="true" hidden="false" outlineLevel="0" max="19" min="19" style="0" width="11"/>
    <col collapsed="false" customWidth="true" hidden="false" outlineLevel="0" max="20" min="20" style="0" width="10"/>
    <col collapsed="false" customWidth="true" hidden="false" outlineLevel="0" max="22" min="21" style="0" width="11"/>
    <col collapsed="false" customWidth="true" hidden="false" outlineLevel="0" max="23" min="23" style="0" width="17"/>
    <col collapsed="false" customWidth="true" hidden="false" outlineLevel="0" max="24" min="24" style="0" width="13"/>
    <col collapsed="false" customWidth="true" hidden="false" outlineLevel="0" max="25" min="25" style="0" width="20"/>
  </cols>
  <sheetData>
    <row r="1" customFormat="false" ht="21.75" hidden="false" customHeight="true" outlineLevel="0" collapsed="false">
      <c r="A1" s="1" t="s">
        <v>142</v>
      </c>
      <c r="B1" s="1"/>
      <c r="C1" s="1"/>
      <c r="D1" s="1"/>
      <c r="E1" s="1"/>
      <c r="F1" s="1"/>
      <c r="G1" s="1"/>
      <c r="H1" s="1"/>
      <c r="I1" s="1"/>
      <c r="J1" s="1"/>
      <c r="K1" s="1"/>
      <c r="L1" s="1"/>
      <c r="M1" s="1"/>
      <c r="N1" s="1"/>
      <c r="O1" s="1"/>
      <c r="P1" s="1"/>
      <c r="Q1" s="1"/>
      <c r="R1" s="1"/>
      <c r="S1" s="1"/>
      <c r="T1" s="1"/>
      <c r="U1" s="1"/>
      <c r="V1" s="1"/>
      <c r="W1" s="1"/>
      <c r="X1" s="1"/>
      <c r="Y1" s="1"/>
    </row>
    <row r="2" customFormat="false" ht="15" hidden="false" customHeight="false" outlineLevel="0" collapsed="false">
      <c r="A2" s="2" t="s">
        <v>143</v>
      </c>
      <c r="B2" s="2"/>
      <c r="C2" s="2"/>
      <c r="D2" s="2"/>
      <c r="E2" s="2"/>
      <c r="F2" s="2"/>
      <c r="G2" s="2"/>
      <c r="H2" s="2"/>
      <c r="I2" s="2"/>
      <c r="J2" s="2"/>
      <c r="K2" s="2"/>
      <c r="L2" s="2"/>
      <c r="M2" s="2"/>
      <c r="N2" s="2"/>
      <c r="O2" s="2"/>
      <c r="P2" s="2"/>
      <c r="Q2" s="2"/>
      <c r="R2" s="2"/>
      <c r="S2" s="2"/>
      <c r="T2" s="2"/>
      <c r="U2" s="2"/>
      <c r="V2" s="2"/>
      <c r="W2" s="2"/>
      <c r="X2" s="2"/>
      <c r="Y2" s="2"/>
    </row>
    <row r="3" customFormat="false" ht="45.75" hidden="false" customHeight="true" outlineLevel="0" collapsed="false">
      <c r="A3" s="6" t="s">
        <v>144</v>
      </c>
      <c r="B3" s="6" t="s">
        <v>145</v>
      </c>
      <c r="C3" s="6" t="s">
        <v>146</v>
      </c>
      <c r="D3" s="6" t="s">
        <v>147</v>
      </c>
      <c r="E3" s="6" t="s">
        <v>148</v>
      </c>
      <c r="F3" s="6" t="s">
        <v>149</v>
      </c>
      <c r="G3" s="6" t="s">
        <v>150</v>
      </c>
      <c r="H3" s="6" t="s">
        <v>151</v>
      </c>
      <c r="I3" s="6" t="s">
        <v>152</v>
      </c>
      <c r="J3" s="6" t="s">
        <v>153</v>
      </c>
      <c r="K3" s="6" t="s">
        <v>154</v>
      </c>
      <c r="L3" s="6" t="s">
        <v>155</v>
      </c>
      <c r="M3" s="6" t="s">
        <v>156</v>
      </c>
      <c r="N3" s="6" t="s">
        <v>157</v>
      </c>
      <c r="O3" s="6" t="s">
        <v>26</v>
      </c>
      <c r="P3" s="6" t="s">
        <v>158</v>
      </c>
      <c r="Q3" s="6" t="s">
        <v>159</v>
      </c>
      <c r="R3" s="6" t="s">
        <v>160</v>
      </c>
      <c r="S3" s="6" t="s">
        <v>161</v>
      </c>
      <c r="T3" s="6" t="s">
        <v>162</v>
      </c>
      <c r="U3" s="6" t="s">
        <v>163</v>
      </c>
      <c r="V3" s="6" t="s">
        <v>164</v>
      </c>
      <c r="W3" s="6" t="s">
        <v>165</v>
      </c>
      <c r="X3" s="6" t="s">
        <v>166</v>
      </c>
      <c r="Y3" s="6" t="s">
        <v>167</v>
      </c>
    </row>
    <row r="4" customFormat="false" ht="43.25" hidden="false" customHeight="false" outlineLevel="0" collapsed="false">
      <c r="A4" s="7" t="s">
        <v>168</v>
      </c>
      <c r="B4" s="8" t="s">
        <v>169</v>
      </c>
      <c r="C4" s="8" t="s">
        <v>170</v>
      </c>
      <c r="D4" s="17" t="s">
        <v>171</v>
      </c>
      <c r="E4" s="8" t="s">
        <v>172</v>
      </c>
      <c r="F4" s="8" t="s">
        <v>173</v>
      </c>
      <c r="G4" s="8" t="s">
        <v>174</v>
      </c>
      <c r="H4" s="8" t="s">
        <v>175</v>
      </c>
      <c r="I4" s="8" t="s">
        <v>176</v>
      </c>
      <c r="J4" s="17" t="n">
        <v>5</v>
      </c>
      <c r="K4" s="17" t="n">
        <v>4</v>
      </c>
      <c r="L4" s="17" t="n">
        <f aca="false">J4*K4</f>
        <v>20</v>
      </c>
      <c r="M4" s="17" t="str">
        <f aca="false">IF(L4&gt;=16,"Critical",IF(L4&gt;=10,"High",IF(L4&gt;=5,"Moderate","Low")))</f>
        <v>Critical</v>
      </c>
      <c r="N4" s="8" t="s">
        <v>177</v>
      </c>
      <c r="O4" s="17" t="s">
        <v>178</v>
      </c>
      <c r="P4" s="17" t="n">
        <v>5</v>
      </c>
      <c r="Q4" s="17" t="n">
        <v>2</v>
      </c>
      <c r="R4" s="17" t="n">
        <f aca="false">P4*Q4</f>
        <v>10</v>
      </c>
      <c r="S4" s="18" t="str">
        <f aca="false">IF(R4&gt;=16,"Critical",IF(R4&gt;=10,"High",IF(R4&gt;=5,"Moderate","Low")))</f>
        <v>High</v>
      </c>
      <c r="T4" s="17" t="n">
        <v>9</v>
      </c>
      <c r="U4" s="17" t="str">
        <f aca="false">IF(R4&lt;=T4,"Within","EXCEEDS")</f>
        <v>EXCEEDS</v>
      </c>
      <c r="V4" s="8" t="s">
        <v>179</v>
      </c>
      <c r="W4" s="8" t="s">
        <v>96</v>
      </c>
      <c r="X4" s="8" t="s">
        <v>180</v>
      </c>
      <c r="Y4" s="8" t="str">
        <f aca="false">IF(S4="Critical","Board Audit Committee",IF(S4="High","Executive Risk Committee",IF(S4="Moderate","CISO","Asset owner")))</f>
        <v>Executive Risk Committee</v>
      </c>
    </row>
    <row r="5" customFormat="false" ht="53.7" hidden="false" customHeight="false" outlineLevel="0" collapsed="false">
      <c r="A5" s="11" t="s">
        <v>181</v>
      </c>
      <c r="B5" s="12" t="s">
        <v>182</v>
      </c>
      <c r="C5" s="12" t="s">
        <v>183</v>
      </c>
      <c r="D5" s="19" t="s">
        <v>184</v>
      </c>
      <c r="E5" s="12" t="s">
        <v>185</v>
      </c>
      <c r="F5" s="12" t="s">
        <v>186</v>
      </c>
      <c r="G5" s="12" t="s">
        <v>187</v>
      </c>
      <c r="H5" s="12" t="s">
        <v>188</v>
      </c>
      <c r="I5" s="12" t="s">
        <v>189</v>
      </c>
      <c r="J5" s="19" t="n">
        <v>5</v>
      </c>
      <c r="K5" s="19" t="n">
        <v>4</v>
      </c>
      <c r="L5" s="19" t="n">
        <f aca="false">J5*K5</f>
        <v>20</v>
      </c>
      <c r="M5" s="17" t="str">
        <f aca="false">IF(L5&gt;=16,"Critical",IF(L5&gt;=10,"High",IF(L5&gt;=5,"Moderate","Low")))</f>
        <v>Critical</v>
      </c>
      <c r="N5" s="12" t="s">
        <v>190</v>
      </c>
      <c r="O5" s="19" t="s">
        <v>191</v>
      </c>
      <c r="P5" s="19" t="n">
        <v>5</v>
      </c>
      <c r="Q5" s="19" t="n">
        <v>1</v>
      </c>
      <c r="R5" s="19" t="n">
        <f aca="false">P5*Q5</f>
        <v>5</v>
      </c>
      <c r="S5" s="18" t="str">
        <f aca="false">IF(R5&gt;=16,"Critical",IF(R5&gt;=10,"High",IF(R5&gt;=5,"Moderate","Low")))</f>
        <v>Moderate</v>
      </c>
      <c r="T5" s="19" t="n">
        <v>9</v>
      </c>
      <c r="U5" s="17" t="str">
        <f aca="false">IF(R5&lt;=T5,"Within","EXCEEDS")</f>
        <v>Within</v>
      </c>
      <c r="V5" s="12" t="s">
        <v>192</v>
      </c>
      <c r="W5" s="12" t="s">
        <v>96</v>
      </c>
      <c r="X5" s="12" t="s">
        <v>193</v>
      </c>
      <c r="Y5" s="12" t="str">
        <f aca="false">IF(S5="Critical","Board Audit Committee",IF(S5="High","Executive Risk Committee",IF(S5="Moderate","CISO","Asset owner")))</f>
        <v>CISO</v>
      </c>
    </row>
    <row r="6" customFormat="false" ht="43.25" hidden="false" customHeight="false" outlineLevel="0" collapsed="false">
      <c r="A6" s="7" t="s">
        <v>194</v>
      </c>
      <c r="B6" s="8" t="s">
        <v>195</v>
      </c>
      <c r="C6" s="8" t="s">
        <v>196</v>
      </c>
      <c r="D6" s="17" t="s">
        <v>171</v>
      </c>
      <c r="E6" s="8" t="s">
        <v>172</v>
      </c>
      <c r="F6" s="8" t="s">
        <v>186</v>
      </c>
      <c r="G6" s="8" t="s">
        <v>197</v>
      </c>
      <c r="H6" s="8" t="s">
        <v>198</v>
      </c>
      <c r="I6" s="8" t="s">
        <v>199</v>
      </c>
      <c r="J6" s="17" t="n">
        <v>5</v>
      </c>
      <c r="K6" s="17" t="n">
        <v>3</v>
      </c>
      <c r="L6" s="17" t="n">
        <f aca="false">J6*K6</f>
        <v>15</v>
      </c>
      <c r="M6" s="17" t="str">
        <f aca="false">IF(L6&gt;=16,"Critical",IF(L6&gt;=10,"High",IF(L6&gt;=5,"Moderate","Low")))</f>
        <v>High</v>
      </c>
      <c r="N6" s="8" t="s">
        <v>200</v>
      </c>
      <c r="O6" s="17" t="s">
        <v>191</v>
      </c>
      <c r="P6" s="17" t="n">
        <v>5</v>
      </c>
      <c r="Q6" s="17" t="n">
        <v>1</v>
      </c>
      <c r="R6" s="17" t="n">
        <f aca="false">P6*Q6</f>
        <v>5</v>
      </c>
      <c r="S6" s="18" t="str">
        <f aca="false">IF(R6&gt;=16,"Critical",IF(R6&gt;=10,"High",IF(R6&gt;=5,"Moderate","Low")))</f>
        <v>Moderate</v>
      </c>
      <c r="T6" s="17" t="n">
        <v>9</v>
      </c>
      <c r="U6" s="17" t="str">
        <f aca="false">IF(R6&lt;=T6,"Within","EXCEEDS")</f>
        <v>Within</v>
      </c>
      <c r="V6" s="8" t="s">
        <v>192</v>
      </c>
      <c r="W6" s="8" t="s">
        <v>43</v>
      </c>
      <c r="X6" s="8" t="s">
        <v>193</v>
      </c>
      <c r="Y6" s="8" t="str">
        <f aca="false">IF(S6="Critical","Board Audit Committee",IF(S6="High","Executive Risk Committee",IF(S6="Moderate","CISO","Asset owner")))</f>
        <v>CISO</v>
      </c>
    </row>
    <row r="7" customFormat="false" ht="43.25" hidden="false" customHeight="false" outlineLevel="0" collapsed="false">
      <c r="A7" s="11" t="s">
        <v>201</v>
      </c>
      <c r="B7" s="12" t="s">
        <v>202</v>
      </c>
      <c r="C7" s="12" t="s">
        <v>203</v>
      </c>
      <c r="D7" s="19" t="s">
        <v>204</v>
      </c>
      <c r="E7" s="12" t="s">
        <v>205</v>
      </c>
      <c r="F7" s="12" t="s">
        <v>186</v>
      </c>
      <c r="G7" s="12" t="s">
        <v>206</v>
      </c>
      <c r="H7" s="12" t="s">
        <v>207</v>
      </c>
      <c r="I7" s="12" t="s">
        <v>208</v>
      </c>
      <c r="J7" s="19" t="n">
        <v>4</v>
      </c>
      <c r="K7" s="19" t="n">
        <v>4</v>
      </c>
      <c r="L7" s="19" t="n">
        <f aca="false">J7*K7</f>
        <v>16</v>
      </c>
      <c r="M7" s="17" t="str">
        <f aca="false">IF(L7&gt;=16,"Critical",IF(L7&gt;=10,"High",IF(L7&gt;=5,"Moderate","Low")))</f>
        <v>Critical</v>
      </c>
      <c r="N7" s="12" t="s">
        <v>209</v>
      </c>
      <c r="O7" s="19" t="s">
        <v>210</v>
      </c>
      <c r="P7" s="19" t="n">
        <v>4</v>
      </c>
      <c r="Q7" s="19" t="n">
        <v>3</v>
      </c>
      <c r="R7" s="19" t="n">
        <f aca="false">P7*Q7</f>
        <v>12</v>
      </c>
      <c r="S7" s="18" t="str">
        <f aca="false">IF(R7&gt;=16,"Critical",IF(R7&gt;=10,"High",IF(R7&gt;=5,"Moderate","Low")))</f>
        <v>High</v>
      </c>
      <c r="T7" s="19" t="n">
        <v>9</v>
      </c>
      <c r="U7" s="17" t="str">
        <f aca="false">IF(R7&lt;=T7,"Within","EXCEEDS")</f>
        <v>EXCEEDS</v>
      </c>
      <c r="V7" s="12" t="s">
        <v>179</v>
      </c>
      <c r="W7" s="12" t="s">
        <v>82</v>
      </c>
      <c r="X7" s="12" t="s">
        <v>211</v>
      </c>
      <c r="Y7" s="12" t="str">
        <f aca="false">IF(S7="Critical","Board Audit Committee",IF(S7="High","Executive Risk Committee",IF(S7="Moderate","CISO","Asset owner")))</f>
        <v>Executive Risk Committee</v>
      </c>
    </row>
    <row r="8" customFormat="false" ht="32.8" hidden="false" customHeight="false" outlineLevel="0" collapsed="false">
      <c r="A8" s="7" t="s">
        <v>212</v>
      </c>
      <c r="B8" s="8" t="s">
        <v>213</v>
      </c>
      <c r="C8" s="8" t="s">
        <v>214</v>
      </c>
      <c r="D8" s="17" t="s">
        <v>204</v>
      </c>
      <c r="E8" s="8" t="s">
        <v>215</v>
      </c>
      <c r="F8" s="8" t="s">
        <v>216</v>
      </c>
      <c r="G8" s="8" t="s">
        <v>217</v>
      </c>
      <c r="H8" s="8" t="s">
        <v>218</v>
      </c>
      <c r="I8" s="8" t="s">
        <v>219</v>
      </c>
      <c r="J8" s="17" t="n">
        <v>4</v>
      </c>
      <c r="K8" s="17" t="n">
        <v>5</v>
      </c>
      <c r="L8" s="17" t="n">
        <f aca="false">J8*K8</f>
        <v>20</v>
      </c>
      <c r="M8" s="17" t="str">
        <f aca="false">IF(L8&gt;=16,"Critical",IF(L8&gt;=10,"High",IF(L8&gt;=5,"Moderate","Low")))</f>
        <v>Critical</v>
      </c>
      <c r="N8" s="8" t="s">
        <v>220</v>
      </c>
      <c r="O8" s="17" t="s">
        <v>221</v>
      </c>
      <c r="P8" s="17" t="n">
        <v>4</v>
      </c>
      <c r="Q8" s="17" t="n">
        <v>5</v>
      </c>
      <c r="R8" s="17" t="n">
        <f aca="false">P8*Q8</f>
        <v>20</v>
      </c>
      <c r="S8" s="18" t="str">
        <f aca="false">IF(R8&gt;=16,"Critical",IF(R8&gt;=10,"High",IF(R8&gt;=5,"Moderate","Low")))</f>
        <v>Critical</v>
      </c>
      <c r="T8" s="17" t="n">
        <v>9</v>
      </c>
      <c r="U8" s="17" t="str">
        <f aca="false">IF(R8&lt;=T8,"Within","EXCEEDS")</f>
        <v>EXCEEDS</v>
      </c>
      <c r="V8" s="8" t="s">
        <v>179</v>
      </c>
      <c r="W8" s="8" t="s">
        <v>82</v>
      </c>
      <c r="X8" s="8" t="s">
        <v>180</v>
      </c>
      <c r="Y8" s="8" t="str">
        <f aca="false">IF(S8="Critical","Board Audit Committee",IF(S8="High","Executive Risk Committee",IF(S8="Moderate","CISO","Asset owner")))</f>
        <v>Board Audit Committee</v>
      </c>
    </row>
    <row r="9" customFormat="false" ht="32.8" hidden="false" customHeight="false" outlineLevel="0" collapsed="false">
      <c r="A9" s="11" t="s">
        <v>222</v>
      </c>
      <c r="B9" s="12" t="s">
        <v>223</v>
      </c>
      <c r="C9" s="12" t="s">
        <v>224</v>
      </c>
      <c r="D9" s="19" t="s">
        <v>225</v>
      </c>
      <c r="E9" s="12" t="s">
        <v>226</v>
      </c>
      <c r="F9" s="12" t="s">
        <v>186</v>
      </c>
      <c r="G9" s="12" t="s">
        <v>227</v>
      </c>
      <c r="H9" s="12" t="s">
        <v>228</v>
      </c>
      <c r="I9" s="12" t="s">
        <v>229</v>
      </c>
      <c r="J9" s="19" t="n">
        <v>4</v>
      </c>
      <c r="K9" s="19" t="n">
        <v>4</v>
      </c>
      <c r="L9" s="19" t="n">
        <f aca="false">J9*K9</f>
        <v>16</v>
      </c>
      <c r="M9" s="17" t="str">
        <f aca="false">IF(L9&gt;=16,"Critical",IF(L9&gt;=10,"High",IF(L9&gt;=5,"Moderate","Low")))</f>
        <v>Critical</v>
      </c>
      <c r="N9" s="12" t="s">
        <v>230</v>
      </c>
      <c r="O9" s="19" t="s">
        <v>210</v>
      </c>
      <c r="P9" s="19" t="n">
        <v>4</v>
      </c>
      <c r="Q9" s="19" t="n">
        <v>3</v>
      </c>
      <c r="R9" s="19" t="n">
        <f aca="false">P9*Q9</f>
        <v>12</v>
      </c>
      <c r="S9" s="18" t="str">
        <f aca="false">IF(R9&gt;=16,"Critical",IF(R9&gt;=10,"High",IF(R9&gt;=5,"Moderate","Low")))</f>
        <v>High</v>
      </c>
      <c r="T9" s="19" t="n">
        <v>9</v>
      </c>
      <c r="U9" s="17" t="str">
        <f aca="false">IF(R9&lt;=T9,"Within","EXCEEDS")</f>
        <v>EXCEEDS</v>
      </c>
      <c r="V9" s="12" t="s">
        <v>179</v>
      </c>
      <c r="W9" s="12" t="s">
        <v>113</v>
      </c>
      <c r="X9" s="12" t="s">
        <v>231</v>
      </c>
      <c r="Y9" s="12" t="str">
        <f aca="false">IF(S9="Critical","Board Audit Committee",IF(S9="High","Executive Risk Committee",IF(S9="Moderate","CISO","Asset owner")))</f>
        <v>Executive Risk Committee</v>
      </c>
    </row>
    <row r="10" customFormat="false" ht="43.25" hidden="false" customHeight="false" outlineLevel="0" collapsed="false">
      <c r="A10" s="7" t="s">
        <v>232</v>
      </c>
      <c r="B10" s="8" t="s">
        <v>233</v>
      </c>
      <c r="C10" s="8" t="s">
        <v>234</v>
      </c>
      <c r="D10" s="17" t="s">
        <v>235</v>
      </c>
      <c r="E10" s="8" t="s">
        <v>236</v>
      </c>
      <c r="F10" s="8" t="s">
        <v>186</v>
      </c>
      <c r="G10" s="8" t="s">
        <v>237</v>
      </c>
      <c r="H10" s="8" t="s">
        <v>238</v>
      </c>
      <c r="I10" s="8" t="s">
        <v>239</v>
      </c>
      <c r="J10" s="17" t="n">
        <v>5</v>
      </c>
      <c r="K10" s="17" t="n">
        <v>4</v>
      </c>
      <c r="L10" s="17" t="n">
        <f aca="false">J10*K10</f>
        <v>20</v>
      </c>
      <c r="M10" s="17" t="str">
        <f aca="false">IF(L10&gt;=16,"Critical",IF(L10&gt;=10,"High",IF(L10&gt;=5,"Moderate","Low")))</f>
        <v>Critical</v>
      </c>
      <c r="N10" s="8" t="s">
        <v>240</v>
      </c>
      <c r="O10" s="17" t="s">
        <v>210</v>
      </c>
      <c r="P10" s="17" t="n">
        <v>5</v>
      </c>
      <c r="Q10" s="17" t="n">
        <v>3</v>
      </c>
      <c r="R10" s="17" t="n">
        <f aca="false">P10*Q10</f>
        <v>15</v>
      </c>
      <c r="S10" s="18" t="str">
        <f aca="false">IF(R10&gt;=16,"Critical",IF(R10&gt;=10,"High",IF(R10&gt;=5,"Moderate","Low")))</f>
        <v>High</v>
      </c>
      <c r="T10" s="17" t="n">
        <v>9</v>
      </c>
      <c r="U10" s="17" t="str">
        <f aca="false">IF(R10&lt;=T10,"Within","EXCEEDS")</f>
        <v>EXCEEDS</v>
      </c>
      <c r="V10" s="8" t="s">
        <v>179</v>
      </c>
      <c r="W10" s="8" t="s">
        <v>241</v>
      </c>
      <c r="X10" s="8" t="s">
        <v>231</v>
      </c>
      <c r="Y10" s="8" t="str">
        <f aca="false">IF(S10="Critical","Board Audit Committee",IF(S10="High","Executive Risk Committee",IF(S10="Moderate","CISO","Asset owner")))</f>
        <v>Executive Risk Committee</v>
      </c>
    </row>
    <row r="11" customFormat="false" ht="32.8" hidden="false" customHeight="false" outlineLevel="0" collapsed="false">
      <c r="A11" s="11" t="s">
        <v>242</v>
      </c>
      <c r="B11" s="12" t="s">
        <v>243</v>
      </c>
      <c r="C11" s="12" t="s">
        <v>234</v>
      </c>
      <c r="D11" s="19" t="s">
        <v>204</v>
      </c>
      <c r="E11" s="12" t="s">
        <v>244</v>
      </c>
      <c r="F11" s="12" t="s">
        <v>245</v>
      </c>
      <c r="G11" s="12" t="s">
        <v>246</v>
      </c>
      <c r="H11" s="12" t="s">
        <v>247</v>
      </c>
      <c r="I11" s="12" t="s">
        <v>248</v>
      </c>
      <c r="J11" s="19" t="n">
        <v>5</v>
      </c>
      <c r="K11" s="19" t="n">
        <v>3</v>
      </c>
      <c r="L11" s="19" t="n">
        <f aca="false">J11*K11</f>
        <v>15</v>
      </c>
      <c r="M11" s="17" t="str">
        <f aca="false">IF(L11&gt;=16,"Critical",IF(L11&gt;=10,"High",IF(L11&gt;=5,"Moderate","Low")))</f>
        <v>High</v>
      </c>
      <c r="N11" s="12" t="s">
        <v>249</v>
      </c>
      <c r="O11" s="19" t="s">
        <v>178</v>
      </c>
      <c r="P11" s="19" t="n">
        <v>4</v>
      </c>
      <c r="Q11" s="19" t="n">
        <v>2</v>
      </c>
      <c r="R11" s="19" t="n">
        <f aca="false">P11*Q11</f>
        <v>8</v>
      </c>
      <c r="S11" s="18" t="str">
        <f aca="false">IF(R11&gt;=16,"Critical",IF(R11&gt;=10,"High",IF(R11&gt;=5,"Moderate","Low")))</f>
        <v>Moderate</v>
      </c>
      <c r="T11" s="19" t="n">
        <v>15</v>
      </c>
      <c r="U11" s="17" t="str">
        <f aca="false">IF(R11&lt;=T11,"Within","EXCEEDS")</f>
        <v>Within</v>
      </c>
      <c r="V11" s="12" t="s">
        <v>179</v>
      </c>
      <c r="W11" s="12" t="s">
        <v>43</v>
      </c>
      <c r="X11" s="12" t="s">
        <v>250</v>
      </c>
      <c r="Y11" s="12" t="str">
        <f aca="false">IF(S11="Critical","Board Audit Committee",IF(S11="High","Executive Risk Committee",IF(S11="Moderate","CISO","Asset owner")))</f>
        <v>CISO</v>
      </c>
    </row>
    <row r="12" customFormat="false" ht="32.8" hidden="false" customHeight="false" outlineLevel="0" collapsed="false">
      <c r="A12" s="7" t="s">
        <v>251</v>
      </c>
      <c r="B12" s="8" t="s">
        <v>252</v>
      </c>
      <c r="C12" s="8" t="s">
        <v>253</v>
      </c>
      <c r="D12" s="17" t="s">
        <v>235</v>
      </c>
      <c r="E12" s="8" t="s">
        <v>254</v>
      </c>
      <c r="F12" s="8" t="s">
        <v>216</v>
      </c>
      <c r="G12" s="8" t="s">
        <v>255</v>
      </c>
      <c r="H12" s="8" t="s">
        <v>256</v>
      </c>
      <c r="I12" s="8" t="s">
        <v>257</v>
      </c>
      <c r="J12" s="17" t="n">
        <v>3</v>
      </c>
      <c r="K12" s="17" t="n">
        <v>4</v>
      </c>
      <c r="L12" s="17" t="n">
        <f aca="false">J12*K12</f>
        <v>12</v>
      </c>
      <c r="M12" s="17" t="str">
        <f aca="false">IF(L12&gt;=16,"Critical",IF(L12&gt;=10,"High",IF(L12&gt;=5,"Moderate","Low")))</f>
        <v>High</v>
      </c>
      <c r="N12" s="8" t="s">
        <v>258</v>
      </c>
      <c r="O12" s="17" t="s">
        <v>221</v>
      </c>
      <c r="P12" s="17" t="n">
        <v>3</v>
      </c>
      <c r="Q12" s="17" t="n">
        <v>4</v>
      </c>
      <c r="R12" s="17" t="n">
        <f aca="false">P12*Q12</f>
        <v>12</v>
      </c>
      <c r="S12" s="18" t="str">
        <f aca="false">IF(R12&gt;=16,"Critical",IF(R12&gt;=10,"High",IF(R12&gt;=5,"Moderate","Low")))</f>
        <v>High</v>
      </c>
      <c r="T12" s="17" t="n">
        <v>9</v>
      </c>
      <c r="U12" s="17" t="str">
        <f aca="false">IF(R12&lt;=T12,"Within","EXCEEDS")</f>
        <v>EXCEEDS</v>
      </c>
      <c r="V12" s="8" t="s">
        <v>179</v>
      </c>
      <c r="W12" s="8" t="s">
        <v>241</v>
      </c>
      <c r="X12" s="8" t="s">
        <v>180</v>
      </c>
      <c r="Y12" s="8" t="str">
        <f aca="false">IF(S12="Critical","Board Audit Committee",IF(S12="High","Executive Risk Committee",IF(S12="Moderate","CISO","Asset owner")))</f>
        <v>Executive Risk Committee</v>
      </c>
    </row>
    <row r="13" customFormat="false" ht="32.8" hidden="false" customHeight="false" outlineLevel="0" collapsed="false">
      <c r="A13" s="11" t="s">
        <v>259</v>
      </c>
      <c r="B13" s="12" t="s">
        <v>260</v>
      </c>
      <c r="C13" s="12" t="s">
        <v>261</v>
      </c>
      <c r="D13" s="19" t="s">
        <v>225</v>
      </c>
      <c r="E13" s="12" t="s">
        <v>262</v>
      </c>
      <c r="F13" s="12" t="s">
        <v>186</v>
      </c>
      <c r="G13" s="12" t="s">
        <v>263</v>
      </c>
      <c r="H13" s="12" t="s">
        <v>264</v>
      </c>
      <c r="I13" s="12" t="s">
        <v>265</v>
      </c>
      <c r="J13" s="19" t="n">
        <v>4</v>
      </c>
      <c r="K13" s="19" t="n">
        <v>3</v>
      </c>
      <c r="L13" s="19" t="n">
        <f aca="false">J13*K13</f>
        <v>12</v>
      </c>
      <c r="M13" s="17" t="str">
        <f aca="false">IF(L13&gt;=16,"Critical",IF(L13&gt;=10,"High",IF(L13&gt;=5,"Moderate","Low")))</f>
        <v>High</v>
      </c>
      <c r="N13" s="12" t="s">
        <v>266</v>
      </c>
      <c r="O13" s="19" t="s">
        <v>210</v>
      </c>
      <c r="P13" s="19" t="n">
        <v>4</v>
      </c>
      <c r="Q13" s="19" t="n">
        <v>3</v>
      </c>
      <c r="R13" s="19" t="n">
        <f aca="false">P13*Q13</f>
        <v>12</v>
      </c>
      <c r="S13" s="18" t="str">
        <f aca="false">IF(R13&gt;=16,"Critical",IF(R13&gt;=10,"High",IF(R13&gt;=5,"Moderate","Low")))</f>
        <v>High</v>
      </c>
      <c r="T13" s="19" t="n">
        <v>9</v>
      </c>
      <c r="U13" s="17" t="str">
        <f aca="false">IF(R13&lt;=T13,"Within","EXCEEDS")</f>
        <v>EXCEEDS</v>
      </c>
      <c r="V13" s="12" t="s">
        <v>179</v>
      </c>
      <c r="W13" s="12" t="s">
        <v>241</v>
      </c>
      <c r="X13" s="12" t="s">
        <v>180</v>
      </c>
      <c r="Y13" s="12" t="str">
        <f aca="false">IF(S13="Critical","Board Audit Committee",IF(S13="High","Executive Risk Committee",IF(S13="Moderate","CISO","Asset owner")))</f>
        <v>Executive Risk Committee</v>
      </c>
    </row>
    <row r="14" customFormat="false" ht="43.25" hidden="false" customHeight="false" outlineLevel="0" collapsed="false">
      <c r="A14" s="7" t="s">
        <v>267</v>
      </c>
      <c r="B14" s="8" t="s">
        <v>268</v>
      </c>
      <c r="C14" s="8" t="s">
        <v>269</v>
      </c>
      <c r="D14" s="17" t="s">
        <v>270</v>
      </c>
      <c r="E14" s="8" t="s">
        <v>271</v>
      </c>
      <c r="F14" s="8" t="s">
        <v>186</v>
      </c>
      <c r="G14" s="8" t="s">
        <v>272</v>
      </c>
      <c r="H14" s="8" t="s">
        <v>273</v>
      </c>
      <c r="I14" s="8" t="s">
        <v>274</v>
      </c>
      <c r="J14" s="17" t="n">
        <v>4</v>
      </c>
      <c r="K14" s="17" t="n">
        <v>5</v>
      </c>
      <c r="L14" s="17" t="n">
        <f aca="false">J14*K14</f>
        <v>20</v>
      </c>
      <c r="M14" s="17" t="str">
        <f aca="false">IF(L14&gt;=16,"Critical",IF(L14&gt;=10,"High",IF(L14&gt;=5,"Moderate","Low")))</f>
        <v>Critical</v>
      </c>
      <c r="N14" s="8" t="s">
        <v>275</v>
      </c>
      <c r="O14" s="17" t="s">
        <v>191</v>
      </c>
      <c r="P14" s="17" t="n">
        <v>3</v>
      </c>
      <c r="Q14" s="17" t="n">
        <v>2</v>
      </c>
      <c r="R14" s="17" t="n">
        <f aca="false">P14*Q14</f>
        <v>6</v>
      </c>
      <c r="S14" s="18" t="str">
        <f aca="false">IF(R14&gt;=16,"Critical",IF(R14&gt;=10,"High",IF(R14&gt;=5,"Moderate","Low")))</f>
        <v>Moderate</v>
      </c>
      <c r="T14" s="17" t="n">
        <v>9</v>
      </c>
      <c r="U14" s="17" t="str">
        <f aca="false">IF(R14&lt;=T14,"Within","EXCEEDS")</f>
        <v>Within</v>
      </c>
      <c r="V14" s="8" t="s">
        <v>192</v>
      </c>
      <c r="W14" s="8" t="s">
        <v>91</v>
      </c>
      <c r="X14" s="8" t="s">
        <v>193</v>
      </c>
      <c r="Y14" s="8" t="str">
        <f aca="false">IF(S14="Critical","Board Audit Committee",IF(S14="High","Executive Risk Committee",IF(S14="Moderate","CISO","Asset owner")))</f>
        <v>CISO</v>
      </c>
    </row>
    <row r="15" customFormat="false" ht="32.8" hidden="false" customHeight="false" outlineLevel="0" collapsed="false">
      <c r="A15" s="11" t="s">
        <v>276</v>
      </c>
      <c r="B15" s="12" t="s">
        <v>277</v>
      </c>
      <c r="C15" s="12" t="s">
        <v>278</v>
      </c>
      <c r="D15" s="19" t="s">
        <v>270</v>
      </c>
      <c r="E15" s="12" t="s">
        <v>271</v>
      </c>
      <c r="F15" s="12" t="s">
        <v>186</v>
      </c>
      <c r="G15" s="12" t="s">
        <v>279</v>
      </c>
      <c r="H15" s="12" t="s">
        <v>280</v>
      </c>
      <c r="I15" s="12" t="s">
        <v>281</v>
      </c>
      <c r="J15" s="19" t="n">
        <v>3</v>
      </c>
      <c r="K15" s="19" t="n">
        <v>4</v>
      </c>
      <c r="L15" s="19" t="n">
        <f aca="false">J15*K15</f>
        <v>12</v>
      </c>
      <c r="M15" s="17" t="str">
        <f aca="false">IF(L15&gt;=16,"Critical",IF(L15&gt;=10,"High",IF(L15&gt;=5,"Moderate","Low")))</f>
        <v>High</v>
      </c>
      <c r="N15" s="12" t="s">
        <v>282</v>
      </c>
      <c r="O15" s="19" t="s">
        <v>210</v>
      </c>
      <c r="P15" s="19" t="n">
        <v>3</v>
      </c>
      <c r="Q15" s="19" t="n">
        <v>3</v>
      </c>
      <c r="R15" s="19" t="n">
        <f aca="false">P15*Q15</f>
        <v>9</v>
      </c>
      <c r="S15" s="18" t="str">
        <f aca="false">IF(R15&gt;=16,"Critical",IF(R15&gt;=10,"High",IF(R15&gt;=5,"Moderate","Low")))</f>
        <v>Moderate</v>
      </c>
      <c r="T15" s="19" t="n">
        <v>9</v>
      </c>
      <c r="U15" s="17" t="str">
        <f aca="false">IF(R15&lt;=T15,"Within","EXCEEDS")</f>
        <v>Within</v>
      </c>
      <c r="V15" s="12" t="s">
        <v>179</v>
      </c>
      <c r="W15" s="12" t="s">
        <v>283</v>
      </c>
      <c r="X15" s="12" t="s">
        <v>180</v>
      </c>
      <c r="Y15" s="12" t="str">
        <f aca="false">IF(S15="Critical","Board Audit Committee",IF(S15="High","Executive Risk Committee",IF(S15="Moderate","CISO","Asset owner")))</f>
        <v>CISO</v>
      </c>
    </row>
    <row r="16" customFormat="false" ht="32.8" hidden="false" customHeight="false" outlineLevel="0" collapsed="false">
      <c r="A16" s="7" t="s">
        <v>284</v>
      </c>
      <c r="B16" s="8" t="s">
        <v>285</v>
      </c>
      <c r="C16" s="8" t="s">
        <v>286</v>
      </c>
      <c r="D16" s="17" t="s">
        <v>204</v>
      </c>
      <c r="E16" s="8" t="s">
        <v>287</v>
      </c>
      <c r="F16" s="8" t="s">
        <v>216</v>
      </c>
      <c r="G16" s="8" t="s">
        <v>288</v>
      </c>
      <c r="H16" s="8" t="s">
        <v>289</v>
      </c>
      <c r="I16" s="8" t="s">
        <v>290</v>
      </c>
      <c r="J16" s="17" t="n">
        <v>4</v>
      </c>
      <c r="K16" s="17" t="n">
        <v>4</v>
      </c>
      <c r="L16" s="17" t="n">
        <f aca="false">J16*K16</f>
        <v>16</v>
      </c>
      <c r="M16" s="17" t="str">
        <f aca="false">IF(L16&gt;=16,"Critical",IF(L16&gt;=10,"High",IF(L16&gt;=5,"Moderate","Low")))</f>
        <v>Critical</v>
      </c>
      <c r="N16" s="8" t="s">
        <v>291</v>
      </c>
      <c r="O16" s="17" t="s">
        <v>210</v>
      </c>
      <c r="P16" s="17" t="n">
        <v>4</v>
      </c>
      <c r="Q16" s="17" t="n">
        <v>3</v>
      </c>
      <c r="R16" s="17" t="n">
        <f aca="false">P16*Q16</f>
        <v>12</v>
      </c>
      <c r="S16" s="18" t="str">
        <f aca="false">IF(R16&gt;=16,"Critical",IF(R16&gt;=10,"High",IF(R16&gt;=5,"Moderate","Low")))</f>
        <v>High</v>
      </c>
      <c r="T16" s="17" t="n">
        <v>9</v>
      </c>
      <c r="U16" s="17" t="str">
        <f aca="false">IF(R16&lt;=T16,"Within","EXCEEDS")</f>
        <v>EXCEEDS</v>
      </c>
      <c r="V16" s="8" t="s">
        <v>179</v>
      </c>
      <c r="W16" s="8" t="s">
        <v>96</v>
      </c>
      <c r="X16" s="8" t="s">
        <v>180</v>
      </c>
      <c r="Y16" s="8" t="str">
        <f aca="false">IF(S16="Critical","Board Audit Committee",IF(S16="High","Executive Risk Committee",IF(S16="Moderate","CISO","Asset owner")))</f>
        <v>Executive Risk Committee</v>
      </c>
    </row>
    <row r="17" customFormat="false" ht="32.8" hidden="false" customHeight="false" outlineLevel="0" collapsed="false">
      <c r="A17" s="11" t="s">
        <v>292</v>
      </c>
      <c r="B17" s="12" t="s">
        <v>293</v>
      </c>
      <c r="C17" s="12" t="s">
        <v>294</v>
      </c>
      <c r="D17" s="19" t="s">
        <v>204</v>
      </c>
      <c r="E17" s="12" t="s">
        <v>215</v>
      </c>
      <c r="F17" s="12" t="s">
        <v>186</v>
      </c>
      <c r="G17" s="12" t="s">
        <v>295</v>
      </c>
      <c r="H17" s="12" t="s">
        <v>296</v>
      </c>
      <c r="I17" s="12" t="s">
        <v>297</v>
      </c>
      <c r="J17" s="19" t="n">
        <v>4</v>
      </c>
      <c r="K17" s="19" t="n">
        <v>3</v>
      </c>
      <c r="L17" s="19" t="n">
        <f aca="false">J17*K17</f>
        <v>12</v>
      </c>
      <c r="M17" s="17" t="str">
        <f aca="false">IF(L17&gt;=16,"Critical",IF(L17&gt;=10,"High",IF(L17&gt;=5,"Moderate","Low")))</f>
        <v>High</v>
      </c>
      <c r="N17" s="12" t="s">
        <v>298</v>
      </c>
      <c r="O17" s="19" t="s">
        <v>210</v>
      </c>
      <c r="P17" s="19" t="n">
        <v>4</v>
      </c>
      <c r="Q17" s="19" t="n">
        <v>3</v>
      </c>
      <c r="R17" s="19" t="n">
        <f aca="false">P17*Q17</f>
        <v>12</v>
      </c>
      <c r="S17" s="18" t="str">
        <f aca="false">IF(R17&gt;=16,"Critical",IF(R17&gt;=10,"High",IF(R17&gt;=5,"Moderate","Low")))</f>
        <v>High</v>
      </c>
      <c r="T17" s="19" t="n">
        <v>9</v>
      </c>
      <c r="U17" s="17" t="str">
        <f aca="false">IF(R17&lt;=T17,"Within","EXCEEDS")</f>
        <v>EXCEEDS</v>
      </c>
      <c r="V17" s="12" t="s">
        <v>179</v>
      </c>
      <c r="W17" s="12" t="s">
        <v>96</v>
      </c>
      <c r="X17" s="12" t="s">
        <v>180</v>
      </c>
      <c r="Y17" s="12" t="str">
        <f aca="false">IF(S17="Critical","Board Audit Committee",IF(S17="High","Executive Risk Committee",IF(S17="Moderate","CISO","Asset owner")))</f>
        <v>Executive Risk Committee</v>
      </c>
    </row>
    <row r="18" customFormat="false" ht="32.8" hidden="false" customHeight="false" outlineLevel="0" collapsed="false">
      <c r="A18" s="7" t="s">
        <v>299</v>
      </c>
      <c r="B18" s="8" t="s">
        <v>300</v>
      </c>
      <c r="C18" s="8" t="s">
        <v>301</v>
      </c>
      <c r="D18" s="17" t="s">
        <v>204</v>
      </c>
      <c r="E18" s="8" t="s">
        <v>302</v>
      </c>
      <c r="F18" s="8" t="s">
        <v>173</v>
      </c>
      <c r="G18" s="8" t="s">
        <v>303</v>
      </c>
      <c r="H18" s="8" t="s">
        <v>304</v>
      </c>
      <c r="I18" s="8" t="s">
        <v>305</v>
      </c>
      <c r="J18" s="17" t="n">
        <v>5</v>
      </c>
      <c r="K18" s="17" t="n">
        <v>3</v>
      </c>
      <c r="L18" s="17" t="n">
        <f aca="false">J18*K18</f>
        <v>15</v>
      </c>
      <c r="M18" s="17" t="str">
        <f aca="false">IF(L18&gt;=16,"Critical",IF(L18&gt;=10,"High",IF(L18&gt;=5,"Moderate","Low")))</f>
        <v>High</v>
      </c>
      <c r="N18" s="8" t="s">
        <v>306</v>
      </c>
      <c r="O18" s="17" t="s">
        <v>210</v>
      </c>
      <c r="P18" s="17" t="n">
        <v>5</v>
      </c>
      <c r="Q18" s="17" t="n">
        <v>3</v>
      </c>
      <c r="R18" s="17" t="n">
        <f aca="false">P18*Q18</f>
        <v>15</v>
      </c>
      <c r="S18" s="18" t="str">
        <f aca="false">IF(R18&gt;=16,"Critical",IF(R18&gt;=10,"High",IF(R18&gt;=5,"Moderate","Low")))</f>
        <v>High</v>
      </c>
      <c r="T18" s="17" t="n">
        <v>9</v>
      </c>
      <c r="U18" s="17" t="str">
        <f aca="false">IF(R18&lt;=T18,"Within","EXCEEDS")</f>
        <v>EXCEEDS</v>
      </c>
      <c r="V18" s="8" t="s">
        <v>179</v>
      </c>
      <c r="W18" s="8" t="s">
        <v>96</v>
      </c>
      <c r="X18" s="8" t="s">
        <v>180</v>
      </c>
      <c r="Y18" s="8" t="str">
        <f aca="false">IF(S18="Critical","Board Audit Committee",IF(S18="High","Executive Risk Committee",IF(S18="Moderate","CISO","Asset owner")))</f>
        <v>Executive Risk Committee</v>
      </c>
    </row>
    <row r="19" customFormat="false" ht="32.8" hidden="false" customHeight="false" outlineLevel="0" collapsed="false">
      <c r="A19" s="11" t="s">
        <v>307</v>
      </c>
      <c r="B19" s="12" t="s">
        <v>308</v>
      </c>
      <c r="C19" s="12" t="s">
        <v>309</v>
      </c>
      <c r="D19" s="19" t="s">
        <v>204</v>
      </c>
      <c r="E19" s="12" t="s">
        <v>215</v>
      </c>
      <c r="F19" s="12" t="s">
        <v>186</v>
      </c>
      <c r="G19" s="12" t="s">
        <v>310</v>
      </c>
      <c r="H19" s="12" t="s">
        <v>311</v>
      </c>
      <c r="I19" s="12" t="s">
        <v>312</v>
      </c>
      <c r="J19" s="19" t="n">
        <v>4</v>
      </c>
      <c r="K19" s="19" t="n">
        <v>4</v>
      </c>
      <c r="L19" s="19" t="n">
        <f aca="false">J19*K19</f>
        <v>16</v>
      </c>
      <c r="M19" s="17" t="str">
        <f aca="false">IF(L19&gt;=16,"Critical",IF(L19&gt;=10,"High",IF(L19&gt;=5,"Moderate","Low")))</f>
        <v>Critical</v>
      </c>
      <c r="N19" s="12" t="s">
        <v>313</v>
      </c>
      <c r="O19" s="19" t="s">
        <v>210</v>
      </c>
      <c r="P19" s="19" t="n">
        <v>4</v>
      </c>
      <c r="Q19" s="19" t="n">
        <v>3</v>
      </c>
      <c r="R19" s="19" t="n">
        <f aca="false">P19*Q19</f>
        <v>12</v>
      </c>
      <c r="S19" s="18" t="str">
        <f aca="false">IF(R19&gt;=16,"Critical",IF(R19&gt;=10,"High",IF(R19&gt;=5,"Moderate","Low")))</f>
        <v>High</v>
      </c>
      <c r="T19" s="19" t="n">
        <v>9</v>
      </c>
      <c r="U19" s="17" t="str">
        <f aca="false">IF(R19&lt;=T19,"Within","EXCEEDS")</f>
        <v>EXCEEDS</v>
      </c>
      <c r="V19" s="12" t="s">
        <v>179</v>
      </c>
      <c r="W19" s="12" t="s">
        <v>53</v>
      </c>
      <c r="X19" s="12" t="s">
        <v>180</v>
      </c>
      <c r="Y19" s="12" t="str">
        <f aca="false">IF(S19="Critical","Board Audit Committee",IF(S19="High","Executive Risk Committee",IF(S19="Moderate","CISO","Asset owner")))</f>
        <v>Executive Risk Committee</v>
      </c>
    </row>
    <row r="20" customFormat="false" ht="43.25" hidden="false" customHeight="false" outlineLevel="0" collapsed="false">
      <c r="A20" s="7" t="s">
        <v>314</v>
      </c>
      <c r="B20" s="8" t="s">
        <v>315</v>
      </c>
      <c r="C20" s="8" t="s">
        <v>316</v>
      </c>
      <c r="D20" s="17" t="s">
        <v>204</v>
      </c>
      <c r="E20" s="8" t="s">
        <v>215</v>
      </c>
      <c r="F20" s="8" t="s">
        <v>317</v>
      </c>
      <c r="G20" s="8" t="s">
        <v>318</v>
      </c>
      <c r="H20" s="8" t="s">
        <v>319</v>
      </c>
      <c r="I20" s="8" t="s">
        <v>320</v>
      </c>
      <c r="J20" s="17" t="n">
        <v>4</v>
      </c>
      <c r="K20" s="17" t="n">
        <v>3</v>
      </c>
      <c r="L20" s="17" t="n">
        <f aca="false">J20*K20</f>
        <v>12</v>
      </c>
      <c r="M20" s="17" t="str">
        <f aca="false">IF(L20&gt;=16,"Critical",IF(L20&gt;=10,"High",IF(L20&gt;=5,"Moderate","Low")))</f>
        <v>High</v>
      </c>
      <c r="N20" s="8" t="s">
        <v>321</v>
      </c>
      <c r="O20" s="17" t="s">
        <v>178</v>
      </c>
      <c r="P20" s="17" t="n">
        <v>3</v>
      </c>
      <c r="Q20" s="17" t="n">
        <v>3</v>
      </c>
      <c r="R20" s="17" t="n">
        <f aca="false">P20*Q20</f>
        <v>9</v>
      </c>
      <c r="S20" s="18" t="str">
        <f aca="false">IF(R20&gt;=16,"Critical",IF(R20&gt;=10,"High",IF(R20&gt;=5,"Moderate","Low")))</f>
        <v>Moderate</v>
      </c>
      <c r="T20" s="17" t="n">
        <v>15</v>
      </c>
      <c r="U20" s="17" t="str">
        <f aca="false">IF(R20&lt;=T20,"Within","EXCEEDS")</f>
        <v>Within</v>
      </c>
      <c r="V20" s="8" t="s">
        <v>179</v>
      </c>
      <c r="W20" s="8" t="s">
        <v>67</v>
      </c>
      <c r="X20" s="8" t="s">
        <v>180</v>
      </c>
      <c r="Y20" s="8" t="str">
        <f aca="false">IF(S20="Critical","Board Audit Committee",IF(S20="High","Executive Risk Committee",IF(S20="Moderate","CISO","Asset owner")))</f>
        <v>CISO</v>
      </c>
    </row>
    <row r="21" customFormat="false" ht="32.8" hidden="false" customHeight="false" outlineLevel="0" collapsed="false">
      <c r="A21" s="11" t="s">
        <v>322</v>
      </c>
      <c r="B21" s="12" t="s">
        <v>323</v>
      </c>
      <c r="C21" s="12" t="s">
        <v>324</v>
      </c>
      <c r="D21" s="19" t="s">
        <v>204</v>
      </c>
      <c r="E21" s="12" t="s">
        <v>325</v>
      </c>
      <c r="F21" s="12" t="s">
        <v>216</v>
      </c>
      <c r="G21" s="12" t="s">
        <v>326</v>
      </c>
      <c r="H21" s="12" t="s">
        <v>327</v>
      </c>
      <c r="I21" s="12" t="s">
        <v>328</v>
      </c>
      <c r="J21" s="19" t="n">
        <v>3</v>
      </c>
      <c r="K21" s="19" t="n">
        <v>4</v>
      </c>
      <c r="L21" s="19" t="n">
        <f aca="false">J21*K21</f>
        <v>12</v>
      </c>
      <c r="M21" s="17" t="str">
        <f aca="false">IF(L21&gt;=16,"Critical",IF(L21&gt;=10,"High",IF(L21&gt;=5,"Moderate","Low")))</f>
        <v>High</v>
      </c>
      <c r="N21" s="12" t="s">
        <v>329</v>
      </c>
      <c r="O21" s="19" t="s">
        <v>210</v>
      </c>
      <c r="P21" s="19" t="n">
        <v>3</v>
      </c>
      <c r="Q21" s="19" t="n">
        <v>3</v>
      </c>
      <c r="R21" s="19" t="n">
        <f aca="false">P21*Q21</f>
        <v>9</v>
      </c>
      <c r="S21" s="18" t="str">
        <f aca="false">IF(R21&gt;=16,"Critical",IF(R21&gt;=10,"High",IF(R21&gt;=5,"Moderate","Low")))</f>
        <v>Moderate</v>
      </c>
      <c r="T21" s="19" t="n">
        <v>9</v>
      </c>
      <c r="U21" s="17" t="str">
        <f aca="false">IF(R21&lt;=T21,"Within","EXCEEDS")</f>
        <v>Within</v>
      </c>
      <c r="V21" s="12" t="s">
        <v>179</v>
      </c>
      <c r="W21" s="12" t="s">
        <v>283</v>
      </c>
      <c r="X21" s="12" t="s">
        <v>231</v>
      </c>
      <c r="Y21" s="12" t="str">
        <f aca="false">IF(S21="Critical","Board Audit Committee",IF(S21="High","Executive Risk Committee",IF(S21="Moderate","CISO","Asset owner")))</f>
        <v>CISO</v>
      </c>
    </row>
    <row r="22" customFormat="false" ht="32.8" hidden="false" customHeight="false" outlineLevel="0" collapsed="false">
      <c r="A22" s="7" t="s">
        <v>330</v>
      </c>
      <c r="B22" s="8" t="s">
        <v>331</v>
      </c>
      <c r="C22" s="8" t="s">
        <v>286</v>
      </c>
      <c r="D22" s="17" t="s">
        <v>204</v>
      </c>
      <c r="E22" s="8" t="s">
        <v>215</v>
      </c>
      <c r="F22" s="8" t="s">
        <v>216</v>
      </c>
      <c r="G22" s="8" t="s">
        <v>332</v>
      </c>
      <c r="H22" s="8" t="s">
        <v>333</v>
      </c>
      <c r="I22" s="8" t="s">
        <v>334</v>
      </c>
      <c r="J22" s="17" t="n">
        <v>5</v>
      </c>
      <c r="K22" s="17" t="n">
        <v>2</v>
      </c>
      <c r="L22" s="17" t="n">
        <f aca="false">J22*K22</f>
        <v>10</v>
      </c>
      <c r="M22" s="17" t="str">
        <f aca="false">IF(L22&gt;=16,"Critical",IF(L22&gt;=10,"High",IF(L22&gt;=5,"Moderate","Low")))</f>
        <v>High</v>
      </c>
      <c r="N22" s="8" t="s">
        <v>335</v>
      </c>
      <c r="O22" s="17" t="s">
        <v>191</v>
      </c>
      <c r="P22" s="17" t="n">
        <v>4</v>
      </c>
      <c r="Q22" s="17" t="n">
        <v>1</v>
      </c>
      <c r="R22" s="17" t="n">
        <f aca="false">P22*Q22</f>
        <v>4</v>
      </c>
      <c r="S22" s="18" t="str">
        <f aca="false">IF(R22&gt;=16,"Critical",IF(R22&gt;=10,"High",IF(R22&gt;=5,"Moderate","Low")))</f>
        <v>Low</v>
      </c>
      <c r="T22" s="17" t="n">
        <v>9</v>
      </c>
      <c r="U22" s="17" t="str">
        <f aca="false">IF(R22&lt;=T22,"Within","EXCEEDS")</f>
        <v>Within</v>
      </c>
      <c r="V22" s="8" t="s">
        <v>192</v>
      </c>
      <c r="W22" s="8" t="s">
        <v>43</v>
      </c>
      <c r="X22" s="8" t="s">
        <v>193</v>
      </c>
      <c r="Y22" s="8" t="str">
        <f aca="false">IF(S22="Critical","Board Audit Committee",IF(S22="High","Executive Risk Committee",IF(S22="Moderate","CISO","Asset owner")))</f>
        <v>Asset owner</v>
      </c>
    </row>
    <row r="23" customFormat="false" ht="22.35" hidden="false" customHeight="false" outlineLevel="0" collapsed="false">
      <c r="A23" s="11" t="s">
        <v>336</v>
      </c>
      <c r="B23" s="12" t="s">
        <v>337</v>
      </c>
      <c r="C23" s="12" t="s">
        <v>338</v>
      </c>
      <c r="D23" s="19" t="s">
        <v>339</v>
      </c>
      <c r="E23" s="12" t="s">
        <v>340</v>
      </c>
      <c r="F23" s="12" t="s">
        <v>173</v>
      </c>
      <c r="G23" s="12" t="s">
        <v>341</v>
      </c>
      <c r="H23" s="12" t="s">
        <v>342</v>
      </c>
      <c r="I23" s="12" t="s">
        <v>343</v>
      </c>
      <c r="J23" s="19" t="n">
        <v>4</v>
      </c>
      <c r="K23" s="19" t="n">
        <v>3</v>
      </c>
      <c r="L23" s="19" t="n">
        <f aca="false">J23*K23</f>
        <v>12</v>
      </c>
      <c r="M23" s="17" t="str">
        <f aca="false">IF(L23&gt;=16,"Critical",IF(L23&gt;=10,"High",IF(L23&gt;=5,"Moderate","Low")))</f>
        <v>High</v>
      </c>
      <c r="N23" s="12" t="s">
        <v>344</v>
      </c>
      <c r="O23" s="19" t="s">
        <v>191</v>
      </c>
      <c r="P23" s="19" t="n">
        <v>3</v>
      </c>
      <c r="Q23" s="19" t="n">
        <v>2</v>
      </c>
      <c r="R23" s="19" t="n">
        <f aca="false">P23*Q23</f>
        <v>6</v>
      </c>
      <c r="S23" s="18" t="str">
        <f aca="false">IF(R23&gt;=16,"Critical",IF(R23&gt;=10,"High",IF(R23&gt;=5,"Moderate","Low")))</f>
        <v>Moderate</v>
      </c>
      <c r="T23" s="19" t="n">
        <v>9</v>
      </c>
      <c r="U23" s="17" t="str">
        <f aca="false">IF(R23&lt;=T23,"Within","EXCEEDS")</f>
        <v>Within</v>
      </c>
      <c r="V23" s="12" t="s">
        <v>192</v>
      </c>
      <c r="W23" s="12" t="s">
        <v>96</v>
      </c>
      <c r="X23" s="12" t="s">
        <v>193</v>
      </c>
      <c r="Y23" s="12" t="str">
        <f aca="false">IF(S23="Critical","Board Audit Committee",IF(S23="High","Executive Risk Committee",IF(S23="Moderate","CISO","Asset owner")))</f>
        <v>CISO</v>
      </c>
    </row>
    <row r="24" customFormat="false" ht="32.8" hidden="false" customHeight="false" outlineLevel="0" collapsed="false">
      <c r="A24" s="7" t="s">
        <v>345</v>
      </c>
      <c r="B24" s="8" t="s">
        <v>346</v>
      </c>
      <c r="C24" s="8" t="s">
        <v>338</v>
      </c>
      <c r="D24" s="17" t="s">
        <v>347</v>
      </c>
      <c r="E24" s="8" t="s">
        <v>172</v>
      </c>
      <c r="F24" s="8" t="s">
        <v>216</v>
      </c>
      <c r="G24" s="8" t="s">
        <v>348</v>
      </c>
      <c r="H24" s="8" t="s">
        <v>349</v>
      </c>
      <c r="I24" s="8" t="s">
        <v>350</v>
      </c>
      <c r="J24" s="17" t="n">
        <v>4</v>
      </c>
      <c r="K24" s="17" t="n">
        <v>4</v>
      </c>
      <c r="L24" s="17" t="n">
        <f aca="false">J24*K24</f>
        <v>16</v>
      </c>
      <c r="M24" s="17" t="str">
        <f aca="false">IF(L24&gt;=16,"Critical",IF(L24&gt;=10,"High",IF(L24&gt;=5,"Moderate","Low")))</f>
        <v>Critical</v>
      </c>
      <c r="N24" s="8" t="s">
        <v>351</v>
      </c>
      <c r="O24" s="17" t="s">
        <v>178</v>
      </c>
      <c r="P24" s="17" t="n">
        <v>3</v>
      </c>
      <c r="Q24" s="17" t="n">
        <v>3</v>
      </c>
      <c r="R24" s="17" t="n">
        <f aca="false">P24*Q24</f>
        <v>9</v>
      </c>
      <c r="S24" s="18" t="str">
        <f aca="false">IF(R24&gt;=16,"Critical",IF(R24&gt;=10,"High",IF(R24&gt;=5,"Moderate","Low")))</f>
        <v>Moderate</v>
      </c>
      <c r="T24" s="17" t="n">
        <v>9</v>
      </c>
      <c r="U24" s="17" t="str">
        <f aca="false">IF(R24&lt;=T24,"Within","EXCEEDS")</f>
        <v>Within</v>
      </c>
      <c r="V24" s="8" t="s">
        <v>179</v>
      </c>
      <c r="W24" s="8" t="s">
        <v>43</v>
      </c>
      <c r="X24" s="8" t="s">
        <v>250</v>
      </c>
      <c r="Y24" s="8" t="str">
        <f aca="false">IF(S24="Critical","Board Audit Committee",IF(S24="High","Executive Risk Committee",IF(S24="Moderate","CISO","Asset owner")))</f>
        <v>CISO</v>
      </c>
    </row>
    <row r="25" customFormat="false" ht="32.8" hidden="false" customHeight="false" outlineLevel="0" collapsed="false">
      <c r="A25" s="11" t="s">
        <v>352</v>
      </c>
      <c r="B25" s="12" t="s">
        <v>353</v>
      </c>
      <c r="C25" s="12" t="s">
        <v>354</v>
      </c>
      <c r="D25" s="19" t="s">
        <v>204</v>
      </c>
      <c r="E25" s="12" t="s">
        <v>215</v>
      </c>
      <c r="F25" s="12" t="s">
        <v>216</v>
      </c>
      <c r="G25" s="12" t="s">
        <v>355</v>
      </c>
      <c r="H25" s="12" t="s">
        <v>356</v>
      </c>
      <c r="I25" s="12" t="s">
        <v>357</v>
      </c>
      <c r="J25" s="19" t="n">
        <v>4</v>
      </c>
      <c r="K25" s="19" t="n">
        <v>3</v>
      </c>
      <c r="L25" s="19" t="n">
        <f aca="false">J25*K25</f>
        <v>12</v>
      </c>
      <c r="M25" s="17" t="str">
        <f aca="false">IF(L25&gt;=16,"Critical",IF(L25&gt;=10,"High",IF(L25&gt;=5,"Moderate","Low")))</f>
        <v>High</v>
      </c>
      <c r="N25" s="12" t="s">
        <v>358</v>
      </c>
      <c r="O25" s="19" t="s">
        <v>178</v>
      </c>
      <c r="P25" s="19" t="n">
        <v>3</v>
      </c>
      <c r="Q25" s="19" t="n">
        <v>2</v>
      </c>
      <c r="R25" s="19" t="n">
        <f aca="false">P25*Q25</f>
        <v>6</v>
      </c>
      <c r="S25" s="18" t="str">
        <f aca="false">IF(R25&gt;=16,"Critical",IF(R25&gt;=10,"High",IF(R25&gt;=5,"Moderate","Low")))</f>
        <v>Moderate</v>
      </c>
      <c r="T25" s="19" t="n">
        <v>9</v>
      </c>
      <c r="U25" s="17" t="str">
        <f aca="false">IF(R25&lt;=T25,"Within","EXCEEDS")</f>
        <v>Within</v>
      </c>
      <c r="V25" s="12" t="s">
        <v>192</v>
      </c>
      <c r="W25" s="12" t="s">
        <v>53</v>
      </c>
      <c r="X25" s="12" t="s">
        <v>193</v>
      </c>
      <c r="Y25" s="12" t="str">
        <f aca="false">IF(S25="Critical","Board Audit Committee",IF(S25="High","Executive Risk Committee",IF(S25="Moderate","CISO","Asset owner")))</f>
        <v>CISO</v>
      </c>
    </row>
    <row r="26" customFormat="false" ht="32.8" hidden="false" customHeight="false" outlineLevel="0" collapsed="false">
      <c r="A26" s="7" t="s">
        <v>359</v>
      </c>
      <c r="B26" s="8" t="s">
        <v>360</v>
      </c>
      <c r="C26" s="8" t="s">
        <v>99</v>
      </c>
      <c r="D26" s="17" t="s">
        <v>225</v>
      </c>
      <c r="E26" s="8" t="s">
        <v>361</v>
      </c>
      <c r="F26" s="8" t="s">
        <v>186</v>
      </c>
      <c r="G26" s="8" t="s">
        <v>362</v>
      </c>
      <c r="H26" s="8" t="s">
        <v>363</v>
      </c>
      <c r="I26" s="8" t="s">
        <v>364</v>
      </c>
      <c r="J26" s="17" t="n">
        <v>3</v>
      </c>
      <c r="K26" s="17" t="n">
        <v>3</v>
      </c>
      <c r="L26" s="17" t="n">
        <f aca="false">J26*K26</f>
        <v>9</v>
      </c>
      <c r="M26" s="17" t="str">
        <f aca="false">IF(L26&gt;=16,"Critical",IF(L26&gt;=10,"High",IF(L26&gt;=5,"Moderate","Low")))</f>
        <v>Moderate</v>
      </c>
      <c r="N26" s="8" t="s">
        <v>365</v>
      </c>
      <c r="O26" s="17" t="s">
        <v>178</v>
      </c>
      <c r="P26" s="17" t="n">
        <v>3</v>
      </c>
      <c r="Q26" s="17" t="n">
        <v>2</v>
      </c>
      <c r="R26" s="17" t="n">
        <f aca="false">P26*Q26</f>
        <v>6</v>
      </c>
      <c r="S26" s="18" t="str">
        <f aca="false">IF(R26&gt;=16,"Critical",IF(R26&gt;=10,"High",IF(R26&gt;=5,"Moderate","Low")))</f>
        <v>Moderate</v>
      </c>
      <c r="T26" s="17" t="n">
        <v>9</v>
      </c>
      <c r="U26" s="17" t="str">
        <f aca="false">IF(R26&lt;=T26,"Within","EXCEEDS")</f>
        <v>Within</v>
      </c>
      <c r="V26" s="8" t="s">
        <v>192</v>
      </c>
      <c r="W26" s="8" t="s">
        <v>67</v>
      </c>
      <c r="X26" s="8" t="s">
        <v>193</v>
      </c>
      <c r="Y26" s="8" t="str">
        <f aca="false">IF(S26="Critical","Board Audit Committee",IF(S26="High","Executive Risk Committee",IF(S26="Moderate","CISO","Asset owner")))</f>
        <v>CISO</v>
      </c>
    </row>
    <row r="27" customFormat="false" ht="32.8" hidden="false" customHeight="false" outlineLevel="0" collapsed="false">
      <c r="A27" s="11" t="s">
        <v>366</v>
      </c>
      <c r="B27" s="12" t="s">
        <v>367</v>
      </c>
      <c r="C27" s="12" t="s">
        <v>368</v>
      </c>
      <c r="D27" s="19" t="s">
        <v>235</v>
      </c>
      <c r="E27" s="12" t="s">
        <v>369</v>
      </c>
      <c r="F27" s="12" t="s">
        <v>317</v>
      </c>
      <c r="G27" s="12" t="s">
        <v>370</v>
      </c>
      <c r="H27" s="12" t="s">
        <v>371</v>
      </c>
      <c r="I27" s="12" t="s">
        <v>372</v>
      </c>
      <c r="J27" s="19" t="n">
        <v>4</v>
      </c>
      <c r="K27" s="19" t="n">
        <v>3</v>
      </c>
      <c r="L27" s="19" t="n">
        <f aca="false">J27*K27</f>
        <v>12</v>
      </c>
      <c r="M27" s="17" t="str">
        <f aca="false">IF(L27&gt;=16,"Critical",IF(L27&gt;=10,"High",IF(L27&gt;=5,"Moderate","Low")))</f>
        <v>High</v>
      </c>
      <c r="N27" s="12" t="s">
        <v>373</v>
      </c>
      <c r="O27" s="19" t="s">
        <v>178</v>
      </c>
      <c r="P27" s="19" t="n">
        <v>3</v>
      </c>
      <c r="Q27" s="19" t="n">
        <v>3</v>
      </c>
      <c r="R27" s="19" t="n">
        <f aca="false">P27*Q27</f>
        <v>9</v>
      </c>
      <c r="S27" s="18" t="str">
        <f aca="false">IF(R27&gt;=16,"Critical",IF(R27&gt;=10,"High",IF(R27&gt;=5,"Moderate","Low")))</f>
        <v>Moderate</v>
      </c>
      <c r="T27" s="19" t="n">
        <v>15</v>
      </c>
      <c r="U27" s="17" t="str">
        <f aca="false">IF(R27&lt;=T27,"Within","EXCEEDS")</f>
        <v>Within</v>
      </c>
      <c r="V27" s="12" t="s">
        <v>179</v>
      </c>
      <c r="W27" s="12" t="s">
        <v>67</v>
      </c>
      <c r="X27" s="12" t="s">
        <v>250</v>
      </c>
      <c r="Y27" s="12" t="str">
        <f aca="false">IF(S27="Critical","Board Audit Committee",IF(S27="High","Executive Risk Committee",IF(S27="Moderate","CISO","Asset owner")))</f>
        <v>CISO</v>
      </c>
    </row>
    <row r="28" customFormat="false" ht="43.25" hidden="false" customHeight="false" outlineLevel="0" collapsed="false">
      <c r="A28" s="7" t="s">
        <v>374</v>
      </c>
      <c r="B28" s="8" t="s">
        <v>375</v>
      </c>
      <c r="C28" s="8" t="s">
        <v>376</v>
      </c>
      <c r="D28" s="17" t="s">
        <v>184</v>
      </c>
      <c r="E28" s="8" t="s">
        <v>185</v>
      </c>
      <c r="F28" s="8" t="s">
        <v>317</v>
      </c>
      <c r="G28" s="8" t="s">
        <v>377</v>
      </c>
      <c r="H28" s="8" t="s">
        <v>378</v>
      </c>
      <c r="I28" s="8" t="s">
        <v>379</v>
      </c>
      <c r="J28" s="17" t="n">
        <v>5</v>
      </c>
      <c r="K28" s="17" t="n">
        <v>2</v>
      </c>
      <c r="L28" s="17" t="n">
        <f aca="false">J28*K28</f>
        <v>10</v>
      </c>
      <c r="M28" s="17" t="str">
        <f aca="false">IF(L28&gt;=16,"Critical",IF(L28&gt;=10,"High",IF(L28&gt;=5,"Moderate","Low")))</f>
        <v>High</v>
      </c>
      <c r="N28" s="8" t="s">
        <v>380</v>
      </c>
      <c r="O28" s="17" t="s">
        <v>191</v>
      </c>
      <c r="P28" s="17" t="n">
        <v>4</v>
      </c>
      <c r="Q28" s="17" t="n">
        <v>2</v>
      </c>
      <c r="R28" s="17" t="n">
        <f aca="false">P28*Q28</f>
        <v>8</v>
      </c>
      <c r="S28" s="18" t="str">
        <f aca="false">IF(R28&gt;=16,"Critical",IF(R28&gt;=10,"High",IF(R28&gt;=5,"Moderate","Low")))</f>
        <v>Moderate</v>
      </c>
      <c r="T28" s="17" t="n">
        <v>15</v>
      </c>
      <c r="U28" s="17" t="str">
        <f aca="false">IF(R28&lt;=T28,"Within","EXCEEDS")</f>
        <v>Within</v>
      </c>
      <c r="V28" s="8" t="s">
        <v>192</v>
      </c>
      <c r="W28" s="8" t="s">
        <v>96</v>
      </c>
      <c r="X28" s="8" t="s">
        <v>193</v>
      </c>
      <c r="Y28" s="8" t="str">
        <f aca="false">IF(S28="Critical","Board Audit Committee",IF(S28="High","Executive Risk Committee",IF(S28="Moderate","CISO","Asset owner")))</f>
        <v>CISO</v>
      </c>
    </row>
    <row r="29" customFormat="false" ht="32.8" hidden="false" customHeight="false" outlineLevel="0" collapsed="false">
      <c r="A29" s="11" t="s">
        <v>381</v>
      </c>
      <c r="B29" s="12" t="s">
        <v>382</v>
      </c>
      <c r="C29" s="12" t="s">
        <v>138</v>
      </c>
      <c r="D29" s="19" t="s">
        <v>225</v>
      </c>
      <c r="E29" s="12" t="s">
        <v>383</v>
      </c>
      <c r="F29" s="12" t="s">
        <v>186</v>
      </c>
      <c r="G29" s="12" t="s">
        <v>384</v>
      </c>
      <c r="H29" s="12" t="s">
        <v>385</v>
      </c>
      <c r="I29" s="12" t="s">
        <v>386</v>
      </c>
      <c r="J29" s="19" t="n">
        <v>3</v>
      </c>
      <c r="K29" s="19" t="n">
        <v>4</v>
      </c>
      <c r="L29" s="19" t="n">
        <f aca="false">J29*K29</f>
        <v>12</v>
      </c>
      <c r="M29" s="17" t="str">
        <f aca="false">IF(L29&gt;=16,"Critical",IF(L29&gt;=10,"High",IF(L29&gt;=5,"Moderate","Low")))</f>
        <v>High</v>
      </c>
      <c r="N29" s="12" t="s">
        <v>387</v>
      </c>
      <c r="O29" s="19" t="s">
        <v>210</v>
      </c>
      <c r="P29" s="19" t="n">
        <v>3</v>
      </c>
      <c r="Q29" s="19" t="n">
        <v>3</v>
      </c>
      <c r="R29" s="19" t="n">
        <f aca="false">P29*Q29</f>
        <v>9</v>
      </c>
      <c r="S29" s="18" t="str">
        <f aca="false">IF(R29&gt;=16,"Critical",IF(R29&gt;=10,"High",IF(R29&gt;=5,"Moderate","Low")))</f>
        <v>Moderate</v>
      </c>
      <c r="T29" s="19" t="n">
        <v>9</v>
      </c>
      <c r="U29" s="17" t="str">
        <f aca="false">IF(R29&lt;=T29,"Within","EXCEEDS")</f>
        <v>Within</v>
      </c>
      <c r="V29" s="12" t="s">
        <v>179</v>
      </c>
      <c r="W29" s="12" t="s">
        <v>118</v>
      </c>
      <c r="X29" s="12" t="s">
        <v>250</v>
      </c>
      <c r="Y29" s="12" t="str">
        <f aca="false">IF(S29="Critical","Board Audit Committee",IF(S29="High","Executive Risk Committee",IF(S29="Moderate","CISO","Asset owner")))</f>
        <v>CISO</v>
      </c>
    </row>
    <row r="30" customFormat="false" ht="43.25" hidden="false" customHeight="false" outlineLevel="0" collapsed="false">
      <c r="A30" s="7" t="s">
        <v>388</v>
      </c>
      <c r="B30" s="8" t="s">
        <v>389</v>
      </c>
      <c r="C30" s="8" t="s">
        <v>390</v>
      </c>
      <c r="D30" s="17" t="s">
        <v>204</v>
      </c>
      <c r="E30" s="8" t="s">
        <v>391</v>
      </c>
      <c r="F30" s="8" t="s">
        <v>216</v>
      </c>
      <c r="G30" s="8" t="s">
        <v>392</v>
      </c>
      <c r="H30" s="8" t="s">
        <v>393</v>
      </c>
      <c r="I30" s="8" t="s">
        <v>394</v>
      </c>
      <c r="J30" s="17" t="n">
        <v>3</v>
      </c>
      <c r="K30" s="17" t="n">
        <v>3</v>
      </c>
      <c r="L30" s="17" t="n">
        <f aca="false">J30*K30</f>
        <v>9</v>
      </c>
      <c r="M30" s="17" t="str">
        <f aca="false">IF(L30&gt;=16,"Critical",IF(L30&gt;=10,"High",IF(L30&gt;=5,"Moderate","Low")))</f>
        <v>Moderate</v>
      </c>
      <c r="N30" s="8" t="s">
        <v>395</v>
      </c>
      <c r="O30" s="17" t="s">
        <v>210</v>
      </c>
      <c r="P30" s="17" t="n">
        <v>3</v>
      </c>
      <c r="Q30" s="17" t="n">
        <v>3</v>
      </c>
      <c r="R30" s="17" t="n">
        <f aca="false">P30*Q30</f>
        <v>9</v>
      </c>
      <c r="S30" s="18" t="str">
        <f aca="false">IF(R30&gt;=16,"Critical",IF(R30&gt;=10,"High",IF(R30&gt;=5,"Moderate","Low")))</f>
        <v>Moderate</v>
      </c>
      <c r="T30" s="17" t="n">
        <v>9</v>
      </c>
      <c r="U30" s="17" t="str">
        <f aca="false">IF(R30&lt;=T30,"Within","EXCEEDS")</f>
        <v>Within</v>
      </c>
      <c r="V30" s="8" t="s">
        <v>179</v>
      </c>
      <c r="W30" s="8" t="s">
        <v>396</v>
      </c>
      <c r="X30" s="8" t="s">
        <v>397</v>
      </c>
      <c r="Y30" s="8" t="str">
        <f aca="false">IF(S30="Critical","Board Audit Committee",IF(S30="High","Executive Risk Committee",IF(S30="Moderate","CISO","Asset owner")))</f>
        <v>CISO</v>
      </c>
    </row>
    <row r="31" customFormat="false" ht="32.8" hidden="false" customHeight="false" outlineLevel="0" collapsed="false">
      <c r="A31" s="11" t="s">
        <v>398</v>
      </c>
      <c r="B31" s="12" t="s">
        <v>399</v>
      </c>
      <c r="C31" s="12" t="s">
        <v>400</v>
      </c>
      <c r="D31" s="19" t="s">
        <v>204</v>
      </c>
      <c r="E31" s="12" t="s">
        <v>401</v>
      </c>
      <c r="F31" s="12" t="s">
        <v>216</v>
      </c>
      <c r="G31" s="12" t="s">
        <v>402</v>
      </c>
      <c r="H31" s="12" t="s">
        <v>403</v>
      </c>
      <c r="I31" s="12" t="s">
        <v>404</v>
      </c>
      <c r="J31" s="19" t="n">
        <v>3</v>
      </c>
      <c r="K31" s="19" t="n">
        <v>3</v>
      </c>
      <c r="L31" s="19" t="n">
        <f aca="false">J31*K31</f>
        <v>9</v>
      </c>
      <c r="M31" s="17" t="str">
        <f aca="false">IF(L31&gt;=16,"Critical",IF(L31&gt;=10,"High",IF(L31&gt;=5,"Moderate","Low")))</f>
        <v>Moderate</v>
      </c>
      <c r="N31" s="12" t="s">
        <v>405</v>
      </c>
      <c r="O31" s="19" t="s">
        <v>178</v>
      </c>
      <c r="P31" s="19" t="n">
        <v>2</v>
      </c>
      <c r="Q31" s="19" t="n">
        <v>3</v>
      </c>
      <c r="R31" s="19" t="n">
        <f aca="false">P31*Q31</f>
        <v>6</v>
      </c>
      <c r="S31" s="18" t="str">
        <f aca="false">IF(R31&gt;=16,"Critical",IF(R31&gt;=10,"High",IF(R31&gt;=5,"Moderate","Low")))</f>
        <v>Moderate</v>
      </c>
      <c r="T31" s="19" t="n">
        <v>9</v>
      </c>
      <c r="U31" s="17" t="str">
        <f aca="false">IF(R31&lt;=T31,"Within","EXCEEDS")</f>
        <v>Within</v>
      </c>
      <c r="V31" s="12" t="s">
        <v>192</v>
      </c>
      <c r="W31" s="12" t="s">
        <v>406</v>
      </c>
      <c r="X31" s="12" t="s">
        <v>193</v>
      </c>
      <c r="Y31" s="12" t="str">
        <f aca="false">IF(S31="Critical","Board Audit Committee",IF(S31="High","Executive Risk Committee",IF(S31="Moderate","CISO","Asset owner")))</f>
        <v>CISO</v>
      </c>
    </row>
    <row r="32" customFormat="false" ht="43.25" hidden="false" customHeight="false" outlineLevel="0" collapsed="false">
      <c r="A32" s="7" t="s">
        <v>407</v>
      </c>
      <c r="B32" s="8" t="s">
        <v>408</v>
      </c>
      <c r="C32" s="8" t="s">
        <v>409</v>
      </c>
      <c r="D32" s="17" t="s">
        <v>184</v>
      </c>
      <c r="E32" s="8" t="s">
        <v>410</v>
      </c>
      <c r="F32" s="8" t="s">
        <v>186</v>
      </c>
      <c r="G32" s="8" t="s">
        <v>411</v>
      </c>
      <c r="H32" s="8" t="s">
        <v>412</v>
      </c>
      <c r="I32" s="8" t="s">
        <v>413</v>
      </c>
      <c r="J32" s="17" t="n">
        <v>5</v>
      </c>
      <c r="K32" s="17" t="n">
        <v>3</v>
      </c>
      <c r="L32" s="17" t="n">
        <f aca="false">J32*K32</f>
        <v>15</v>
      </c>
      <c r="M32" s="17" t="str">
        <f aca="false">IF(L32&gt;=16,"Critical",IF(L32&gt;=10,"High",IF(L32&gt;=5,"Moderate","Low")))</f>
        <v>High</v>
      </c>
      <c r="N32" s="8" t="s">
        <v>414</v>
      </c>
      <c r="O32" s="17" t="s">
        <v>178</v>
      </c>
      <c r="P32" s="17" t="n">
        <v>5</v>
      </c>
      <c r="Q32" s="17" t="n">
        <v>2</v>
      </c>
      <c r="R32" s="17" t="n">
        <f aca="false">P32*Q32</f>
        <v>10</v>
      </c>
      <c r="S32" s="18" t="str">
        <f aca="false">IF(R32&gt;=16,"Critical",IF(R32&gt;=10,"High",IF(R32&gt;=5,"Moderate","Low")))</f>
        <v>High</v>
      </c>
      <c r="T32" s="17" t="n">
        <v>9</v>
      </c>
      <c r="U32" s="17" t="str">
        <f aca="false">IF(R32&lt;=T32,"Within","EXCEEDS")</f>
        <v>EXCEEDS</v>
      </c>
      <c r="V32" s="8" t="s">
        <v>179</v>
      </c>
      <c r="W32" s="8" t="s">
        <v>113</v>
      </c>
      <c r="X32" s="8" t="s">
        <v>180</v>
      </c>
      <c r="Y32" s="8" t="str">
        <f aca="false">IF(S32="Critical","Board Audit Committee",IF(S32="High","Executive Risk Committee",IF(S32="Moderate","CISO","Asset owner")))</f>
        <v>Executive Risk Committee</v>
      </c>
    </row>
    <row r="33" customFormat="false" ht="32.8" hidden="false" customHeight="false" outlineLevel="0" collapsed="false">
      <c r="A33" s="11" t="s">
        <v>415</v>
      </c>
      <c r="B33" s="12" t="s">
        <v>416</v>
      </c>
      <c r="C33" s="12" t="s">
        <v>417</v>
      </c>
      <c r="D33" s="19" t="s">
        <v>225</v>
      </c>
      <c r="E33" s="12" t="s">
        <v>418</v>
      </c>
      <c r="F33" s="12" t="s">
        <v>186</v>
      </c>
      <c r="G33" s="12" t="s">
        <v>419</v>
      </c>
      <c r="H33" s="12" t="s">
        <v>420</v>
      </c>
      <c r="I33" s="12" t="s">
        <v>421</v>
      </c>
      <c r="J33" s="19" t="n">
        <v>3</v>
      </c>
      <c r="K33" s="19" t="n">
        <v>3</v>
      </c>
      <c r="L33" s="19" t="n">
        <f aca="false">J33*K33</f>
        <v>9</v>
      </c>
      <c r="M33" s="17" t="str">
        <f aca="false">IF(L33&gt;=16,"Critical",IF(L33&gt;=10,"High",IF(L33&gt;=5,"Moderate","Low")))</f>
        <v>Moderate</v>
      </c>
      <c r="N33" s="12" t="s">
        <v>422</v>
      </c>
      <c r="O33" s="19" t="s">
        <v>210</v>
      </c>
      <c r="P33" s="19" t="n">
        <v>3</v>
      </c>
      <c r="Q33" s="19" t="n">
        <v>3</v>
      </c>
      <c r="R33" s="19" t="n">
        <f aca="false">P33*Q33</f>
        <v>9</v>
      </c>
      <c r="S33" s="18" t="str">
        <f aca="false">IF(R33&gt;=16,"Critical",IF(R33&gt;=10,"High",IF(R33&gt;=5,"Moderate","Low")))</f>
        <v>Moderate</v>
      </c>
      <c r="T33" s="19" t="n">
        <v>9</v>
      </c>
      <c r="U33" s="17" t="str">
        <f aca="false">IF(R33&lt;=T33,"Within","EXCEEDS")</f>
        <v>Within</v>
      </c>
      <c r="V33" s="12" t="s">
        <v>179</v>
      </c>
      <c r="W33" s="12" t="s">
        <v>113</v>
      </c>
      <c r="X33" s="12" t="s">
        <v>250</v>
      </c>
      <c r="Y33" s="12" t="str">
        <f aca="false">IF(S33="Critical","Board Audit Committee",IF(S33="High","Executive Risk Committee",IF(S33="Moderate","CISO","Asset owner")))</f>
        <v>CISO</v>
      </c>
    </row>
    <row r="34" customFormat="false" ht="43.25" hidden="false" customHeight="false" outlineLevel="0" collapsed="false">
      <c r="A34" s="7" t="s">
        <v>423</v>
      </c>
      <c r="B34" s="8" t="s">
        <v>424</v>
      </c>
      <c r="C34" s="8" t="s">
        <v>425</v>
      </c>
      <c r="D34" s="17" t="s">
        <v>426</v>
      </c>
      <c r="E34" s="8" t="s">
        <v>427</v>
      </c>
      <c r="F34" s="8" t="s">
        <v>216</v>
      </c>
      <c r="G34" s="8" t="s">
        <v>428</v>
      </c>
      <c r="H34" s="8" t="s">
        <v>429</v>
      </c>
      <c r="I34" s="8" t="s">
        <v>430</v>
      </c>
      <c r="J34" s="17" t="n">
        <v>5</v>
      </c>
      <c r="K34" s="17" t="n">
        <v>3</v>
      </c>
      <c r="L34" s="17" t="n">
        <f aca="false">J34*K34</f>
        <v>15</v>
      </c>
      <c r="M34" s="17" t="str">
        <f aca="false">IF(L34&gt;=16,"Critical",IF(L34&gt;=10,"High",IF(L34&gt;=5,"Moderate","Low")))</f>
        <v>High</v>
      </c>
      <c r="N34" s="8" t="s">
        <v>431</v>
      </c>
      <c r="O34" s="17" t="s">
        <v>178</v>
      </c>
      <c r="P34" s="17" t="n">
        <v>5</v>
      </c>
      <c r="Q34" s="17" t="n">
        <v>2</v>
      </c>
      <c r="R34" s="17" t="n">
        <f aca="false">P34*Q34</f>
        <v>10</v>
      </c>
      <c r="S34" s="18" t="str">
        <f aca="false">IF(R34&gt;=16,"Critical",IF(R34&gt;=10,"High",IF(R34&gt;=5,"Moderate","Low")))</f>
        <v>High</v>
      </c>
      <c r="T34" s="17" t="n">
        <v>9</v>
      </c>
      <c r="U34" s="17" t="str">
        <f aca="false">IF(R34&lt;=T34,"Within","EXCEEDS")</f>
        <v>EXCEEDS</v>
      </c>
      <c r="V34" s="8" t="s">
        <v>179</v>
      </c>
      <c r="W34" s="8" t="s">
        <v>406</v>
      </c>
      <c r="X34" s="8" t="s">
        <v>180</v>
      </c>
      <c r="Y34" s="8" t="str">
        <f aca="false">IF(S34="Critical","Board Audit Committee",IF(S34="High","Executive Risk Committee",IF(S34="Moderate","CISO","Asset owner")))</f>
        <v>Executive Risk Committee</v>
      </c>
    </row>
    <row r="35" customFormat="false" ht="43.25" hidden="false" customHeight="false" outlineLevel="0" collapsed="false">
      <c r="A35" s="11" t="s">
        <v>432</v>
      </c>
      <c r="B35" s="12" t="s">
        <v>433</v>
      </c>
      <c r="C35" s="12" t="s">
        <v>434</v>
      </c>
      <c r="D35" s="19" t="s">
        <v>426</v>
      </c>
      <c r="E35" s="12" t="s">
        <v>435</v>
      </c>
      <c r="F35" s="12" t="s">
        <v>216</v>
      </c>
      <c r="G35" s="12" t="s">
        <v>436</v>
      </c>
      <c r="H35" s="12" t="s">
        <v>437</v>
      </c>
      <c r="I35" s="12" t="s">
        <v>438</v>
      </c>
      <c r="J35" s="19" t="n">
        <v>4</v>
      </c>
      <c r="K35" s="19" t="n">
        <v>4</v>
      </c>
      <c r="L35" s="19" t="n">
        <f aca="false">J35*K35</f>
        <v>16</v>
      </c>
      <c r="M35" s="17" t="str">
        <f aca="false">IF(L35&gt;=16,"Critical",IF(L35&gt;=10,"High",IF(L35&gt;=5,"Moderate","Low")))</f>
        <v>Critical</v>
      </c>
      <c r="N35" s="12" t="s">
        <v>439</v>
      </c>
      <c r="O35" s="19" t="s">
        <v>178</v>
      </c>
      <c r="P35" s="19" t="n">
        <v>4</v>
      </c>
      <c r="Q35" s="19" t="n">
        <v>3</v>
      </c>
      <c r="R35" s="19" t="n">
        <f aca="false">P35*Q35</f>
        <v>12</v>
      </c>
      <c r="S35" s="18" t="str">
        <f aca="false">IF(R35&gt;=16,"Critical",IF(R35&gt;=10,"High",IF(R35&gt;=5,"Moderate","Low")))</f>
        <v>High</v>
      </c>
      <c r="T35" s="19" t="n">
        <v>9</v>
      </c>
      <c r="U35" s="17" t="str">
        <f aca="false">IF(R35&lt;=T35,"Within","EXCEEDS")</f>
        <v>EXCEEDS</v>
      </c>
      <c r="V35" s="12" t="s">
        <v>179</v>
      </c>
      <c r="W35" s="12" t="s">
        <v>406</v>
      </c>
      <c r="X35" s="12" t="s">
        <v>180</v>
      </c>
      <c r="Y35" s="12" t="str">
        <f aca="false">IF(S35="Critical","Board Audit Committee",IF(S35="High","Executive Risk Committee",IF(S35="Moderate","CISO","Asset owner")))</f>
        <v>Executive Risk Committee</v>
      </c>
    </row>
    <row r="36" customFormat="false" ht="43.25" hidden="false" customHeight="false" outlineLevel="0" collapsed="false">
      <c r="A36" s="7" t="s">
        <v>440</v>
      </c>
      <c r="B36" s="8" t="s">
        <v>441</v>
      </c>
      <c r="C36" s="8" t="s">
        <v>400</v>
      </c>
      <c r="D36" s="17" t="s">
        <v>204</v>
      </c>
      <c r="E36" s="8" t="s">
        <v>442</v>
      </c>
      <c r="F36" s="8" t="s">
        <v>216</v>
      </c>
      <c r="G36" s="8" t="s">
        <v>443</v>
      </c>
      <c r="H36" s="8" t="s">
        <v>444</v>
      </c>
      <c r="I36" s="8" t="s">
        <v>445</v>
      </c>
      <c r="J36" s="17" t="n">
        <v>3</v>
      </c>
      <c r="K36" s="17" t="n">
        <v>4</v>
      </c>
      <c r="L36" s="17" t="n">
        <f aca="false">J36*K36</f>
        <v>12</v>
      </c>
      <c r="M36" s="17" t="str">
        <f aca="false">IF(L36&gt;=16,"Critical",IF(L36&gt;=10,"High",IF(L36&gt;=5,"Moderate","Low")))</f>
        <v>High</v>
      </c>
      <c r="N36" s="8" t="s">
        <v>446</v>
      </c>
      <c r="O36" s="17" t="s">
        <v>210</v>
      </c>
      <c r="P36" s="17" t="n">
        <v>3</v>
      </c>
      <c r="Q36" s="17" t="n">
        <v>3</v>
      </c>
      <c r="R36" s="17" t="n">
        <f aca="false">P36*Q36</f>
        <v>9</v>
      </c>
      <c r="S36" s="18" t="str">
        <f aca="false">IF(R36&gt;=16,"Critical",IF(R36&gt;=10,"High",IF(R36&gt;=5,"Moderate","Low")))</f>
        <v>Moderate</v>
      </c>
      <c r="T36" s="17" t="n">
        <v>9</v>
      </c>
      <c r="U36" s="17" t="str">
        <f aca="false">IF(R36&lt;=T36,"Within","EXCEEDS")</f>
        <v>Within</v>
      </c>
      <c r="V36" s="8" t="s">
        <v>179</v>
      </c>
      <c r="W36" s="8" t="s">
        <v>406</v>
      </c>
      <c r="X36" s="8" t="s">
        <v>397</v>
      </c>
      <c r="Y36" s="8" t="str">
        <f aca="false">IF(S36="Critical","Board Audit Committee",IF(S36="High","Executive Risk Committee",IF(S36="Moderate","CISO","Asset owner")))</f>
        <v>CISO</v>
      </c>
    </row>
    <row r="37" customFormat="false" ht="32.8" hidden="false" customHeight="false" outlineLevel="0" collapsed="false">
      <c r="A37" s="11" t="s">
        <v>447</v>
      </c>
      <c r="B37" s="12" t="s">
        <v>448</v>
      </c>
      <c r="C37" s="12" t="s">
        <v>354</v>
      </c>
      <c r="D37" s="19" t="s">
        <v>449</v>
      </c>
      <c r="E37" s="12" t="s">
        <v>450</v>
      </c>
      <c r="F37" s="12" t="s">
        <v>216</v>
      </c>
      <c r="G37" s="12" t="s">
        <v>451</v>
      </c>
      <c r="H37" s="12" t="s">
        <v>452</v>
      </c>
      <c r="I37" s="12" t="s">
        <v>453</v>
      </c>
      <c r="J37" s="19" t="n">
        <v>4</v>
      </c>
      <c r="K37" s="19" t="n">
        <v>4</v>
      </c>
      <c r="L37" s="19" t="n">
        <f aca="false">J37*K37</f>
        <v>16</v>
      </c>
      <c r="M37" s="17" t="str">
        <f aca="false">IF(L37&gt;=16,"Critical",IF(L37&gt;=10,"High",IF(L37&gt;=5,"Moderate","Low")))</f>
        <v>Critical</v>
      </c>
      <c r="N37" s="12" t="s">
        <v>454</v>
      </c>
      <c r="O37" s="19" t="s">
        <v>178</v>
      </c>
      <c r="P37" s="19" t="n">
        <v>4</v>
      </c>
      <c r="Q37" s="19" t="n">
        <v>3</v>
      </c>
      <c r="R37" s="19" t="n">
        <f aca="false">P37*Q37</f>
        <v>12</v>
      </c>
      <c r="S37" s="18" t="str">
        <f aca="false">IF(R37&gt;=16,"Critical",IF(R37&gt;=10,"High",IF(R37&gt;=5,"Moderate","Low")))</f>
        <v>High</v>
      </c>
      <c r="T37" s="19" t="n">
        <v>9</v>
      </c>
      <c r="U37" s="17" t="str">
        <f aca="false">IF(R37&lt;=T37,"Within","EXCEEDS")</f>
        <v>EXCEEDS</v>
      </c>
      <c r="V37" s="12" t="s">
        <v>179</v>
      </c>
      <c r="W37" s="12" t="s">
        <v>53</v>
      </c>
      <c r="X37" s="12" t="s">
        <v>250</v>
      </c>
      <c r="Y37" s="12" t="str">
        <f aca="false">IF(S37="Critical","Board Audit Committee",IF(S37="High","Executive Risk Committee",IF(S37="Moderate","CISO","Asset owner")))</f>
        <v>Executive Risk Committee</v>
      </c>
    </row>
    <row r="38" customFormat="false" ht="32.8" hidden="false" customHeight="false" outlineLevel="0" collapsed="false">
      <c r="A38" s="7" t="s">
        <v>455</v>
      </c>
      <c r="B38" s="8" t="s">
        <v>456</v>
      </c>
      <c r="C38" s="8" t="s">
        <v>425</v>
      </c>
      <c r="D38" s="17" t="s">
        <v>204</v>
      </c>
      <c r="E38" s="8" t="s">
        <v>442</v>
      </c>
      <c r="F38" s="8" t="s">
        <v>216</v>
      </c>
      <c r="G38" s="8" t="s">
        <v>457</v>
      </c>
      <c r="H38" s="8" t="s">
        <v>458</v>
      </c>
      <c r="I38" s="8" t="s">
        <v>459</v>
      </c>
      <c r="J38" s="17" t="n">
        <v>4</v>
      </c>
      <c r="K38" s="17" t="n">
        <v>3</v>
      </c>
      <c r="L38" s="17" t="n">
        <f aca="false">J38*K38</f>
        <v>12</v>
      </c>
      <c r="M38" s="17" t="str">
        <f aca="false">IF(L38&gt;=16,"Critical",IF(L38&gt;=10,"High",IF(L38&gt;=5,"Moderate","Low")))</f>
        <v>High</v>
      </c>
      <c r="N38" s="8" t="s">
        <v>460</v>
      </c>
      <c r="O38" s="17" t="s">
        <v>178</v>
      </c>
      <c r="P38" s="17" t="n">
        <v>3</v>
      </c>
      <c r="Q38" s="17" t="n">
        <v>2</v>
      </c>
      <c r="R38" s="17" t="n">
        <f aca="false">P38*Q38</f>
        <v>6</v>
      </c>
      <c r="S38" s="18" t="str">
        <f aca="false">IF(R38&gt;=16,"Critical",IF(R38&gt;=10,"High",IF(R38&gt;=5,"Moderate","Low")))</f>
        <v>Moderate</v>
      </c>
      <c r="T38" s="17" t="n">
        <v>9</v>
      </c>
      <c r="U38" s="17" t="str">
        <f aca="false">IF(R38&lt;=T38,"Within","EXCEEDS")</f>
        <v>Within</v>
      </c>
      <c r="V38" s="8" t="s">
        <v>179</v>
      </c>
      <c r="W38" s="8" t="s">
        <v>406</v>
      </c>
      <c r="X38" s="8" t="s">
        <v>180</v>
      </c>
      <c r="Y38" s="8" t="str">
        <f aca="false">IF(S38="Critical","Board Audit Committee",IF(S38="High","Executive Risk Committee",IF(S38="Moderate","CISO","Asset owner")))</f>
        <v>CISO</v>
      </c>
    </row>
    <row r="39" customFormat="false" ht="43.25" hidden="false" customHeight="false" outlineLevel="0" collapsed="false">
      <c r="A39" s="11" t="s">
        <v>461</v>
      </c>
      <c r="B39" s="12" t="s">
        <v>462</v>
      </c>
      <c r="C39" s="12" t="s">
        <v>463</v>
      </c>
      <c r="D39" s="19" t="s">
        <v>204</v>
      </c>
      <c r="E39" s="12" t="s">
        <v>464</v>
      </c>
      <c r="F39" s="12" t="s">
        <v>245</v>
      </c>
      <c r="G39" s="12" t="s">
        <v>465</v>
      </c>
      <c r="H39" s="12" t="s">
        <v>466</v>
      </c>
      <c r="I39" s="12" t="s">
        <v>467</v>
      </c>
      <c r="J39" s="19" t="n">
        <v>5</v>
      </c>
      <c r="K39" s="19" t="n">
        <v>2</v>
      </c>
      <c r="L39" s="19" t="n">
        <f aca="false">J39*K39</f>
        <v>10</v>
      </c>
      <c r="M39" s="17" t="str">
        <f aca="false">IF(L39&gt;=16,"Critical",IF(L39&gt;=10,"High",IF(L39&gt;=5,"Moderate","Low")))</f>
        <v>High</v>
      </c>
      <c r="N39" s="12" t="s">
        <v>468</v>
      </c>
      <c r="O39" s="19" t="s">
        <v>210</v>
      </c>
      <c r="P39" s="19" t="n">
        <v>5</v>
      </c>
      <c r="Q39" s="19" t="n">
        <v>2</v>
      </c>
      <c r="R39" s="19" t="n">
        <f aca="false">P39*Q39</f>
        <v>10</v>
      </c>
      <c r="S39" s="18" t="str">
        <f aca="false">IF(R39&gt;=16,"Critical",IF(R39&gt;=10,"High",IF(R39&gt;=5,"Moderate","Low")))</f>
        <v>High</v>
      </c>
      <c r="T39" s="19" t="n">
        <v>9</v>
      </c>
      <c r="U39" s="17" t="str">
        <f aca="false">IF(R39&lt;=T39,"Within","EXCEEDS")</f>
        <v>EXCEEDS</v>
      </c>
      <c r="V39" s="12" t="s">
        <v>179</v>
      </c>
      <c r="W39" s="12" t="s">
        <v>67</v>
      </c>
      <c r="X39" s="12" t="s">
        <v>250</v>
      </c>
      <c r="Y39" s="12" t="str">
        <f aca="false">IF(S39="Critical","Board Audit Committee",IF(S39="High","Executive Risk Committee",IF(S39="Moderate","CISO","Asset owner")))</f>
        <v>Executive Risk Committee</v>
      </c>
    </row>
    <row r="40" customFormat="false" ht="32.8" hidden="false" customHeight="false" outlineLevel="0" collapsed="false">
      <c r="A40" s="7" t="s">
        <v>469</v>
      </c>
      <c r="B40" s="8" t="s">
        <v>470</v>
      </c>
      <c r="C40" s="8" t="s">
        <v>471</v>
      </c>
      <c r="D40" s="17" t="s">
        <v>184</v>
      </c>
      <c r="E40" s="8" t="s">
        <v>472</v>
      </c>
      <c r="F40" s="8" t="s">
        <v>186</v>
      </c>
      <c r="G40" s="8" t="s">
        <v>473</v>
      </c>
      <c r="H40" s="8" t="s">
        <v>474</v>
      </c>
      <c r="I40" s="8" t="s">
        <v>475</v>
      </c>
      <c r="J40" s="17" t="n">
        <v>5</v>
      </c>
      <c r="K40" s="17" t="n">
        <v>3</v>
      </c>
      <c r="L40" s="17" t="n">
        <f aca="false">J40*K40</f>
        <v>15</v>
      </c>
      <c r="M40" s="17" t="str">
        <f aca="false">IF(L40&gt;=16,"Critical",IF(L40&gt;=10,"High",IF(L40&gt;=5,"Moderate","Low")))</f>
        <v>High</v>
      </c>
      <c r="N40" s="8" t="s">
        <v>476</v>
      </c>
      <c r="O40" s="17" t="s">
        <v>178</v>
      </c>
      <c r="P40" s="17" t="n">
        <v>4</v>
      </c>
      <c r="Q40" s="17" t="n">
        <v>2</v>
      </c>
      <c r="R40" s="17" t="n">
        <f aca="false">P40*Q40</f>
        <v>8</v>
      </c>
      <c r="S40" s="18" t="str">
        <f aca="false">IF(R40&gt;=16,"Critical",IF(R40&gt;=10,"High",IF(R40&gt;=5,"Moderate","Low")))</f>
        <v>Moderate</v>
      </c>
      <c r="T40" s="17" t="n">
        <v>9</v>
      </c>
      <c r="U40" s="17" t="str">
        <f aca="false">IF(R40&lt;=T40,"Within","EXCEEDS")</f>
        <v>Within</v>
      </c>
      <c r="V40" s="8" t="s">
        <v>192</v>
      </c>
      <c r="W40" s="8" t="s">
        <v>96</v>
      </c>
      <c r="X40" s="8" t="s">
        <v>193</v>
      </c>
      <c r="Y40" s="8" t="str">
        <f aca="false">IF(S40="Critical","Board Audit Committee",IF(S40="High","Executive Risk Committee",IF(S40="Moderate","CISO","Asset owner")))</f>
        <v>CISO</v>
      </c>
    </row>
    <row r="41" customFormat="false" ht="32.8" hidden="false" customHeight="false" outlineLevel="0" collapsed="false">
      <c r="A41" s="11" t="s">
        <v>477</v>
      </c>
      <c r="B41" s="12" t="s">
        <v>478</v>
      </c>
      <c r="C41" s="12" t="s">
        <v>89</v>
      </c>
      <c r="D41" s="19" t="s">
        <v>204</v>
      </c>
      <c r="E41" s="12" t="s">
        <v>464</v>
      </c>
      <c r="F41" s="12" t="s">
        <v>173</v>
      </c>
      <c r="G41" s="12" t="s">
        <v>479</v>
      </c>
      <c r="H41" s="12" t="s">
        <v>480</v>
      </c>
      <c r="I41" s="12" t="s">
        <v>481</v>
      </c>
      <c r="J41" s="19" t="n">
        <v>5</v>
      </c>
      <c r="K41" s="19" t="n">
        <v>2</v>
      </c>
      <c r="L41" s="19" t="n">
        <f aca="false">J41*K41</f>
        <v>10</v>
      </c>
      <c r="M41" s="17" t="str">
        <f aca="false">IF(L41&gt;=16,"Critical",IF(L41&gt;=10,"High",IF(L41&gt;=5,"Moderate","Low")))</f>
        <v>High</v>
      </c>
      <c r="N41" s="12" t="s">
        <v>482</v>
      </c>
      <c r="O41" s="19" t="s">
        <v>210</v>
      </c>
      <c r="P41" s="19" t="n">
        <v>5</v>
      </c>
      <c r="Q41" s="19" t="n">
        <v>2</v>
      </c>
      <c r="R41" s="19" t="n">
        <f aca="false">P41*Q41</f>
        <v>10</v>
      </c>
      <c r="S41" s="18" t="str">
        <f aca="false">IF(R41&gt;=16,"Critical",IF(R41&gt;=10,"High",IF(R41&gt;=5,"Moderate","Low")))</f>
        <v>High</v>
      </c>
      <c r="T41" s="19" t="n">
        <v>9</v>
      </c>
      <c r="U41" s="17" t="str">
        <f aca="false">IF(R41&lt;=T41,"Within","EXCEEDS")</f>
        <v>EXCEEDS</v>
      </c>
      <c r="V41" s="12" t="s">
        <v>179</v>
      </c>
      <c r="W41" s="12" t="s">
        <v>91</v>
      </c>
      <c r="X41" s="12" t="s">
        <v>250</v>
      </c>
      <c r="Y41" s="12" t="str">
        <f aca="false">IF(S41="Critical","Board Audit Committee",IF(S41="High","Executive Risk Committee",IF(S41="Moderate","CISO","Asset owner")))</f>
        <v>Executive Risk Committee</v>
      </c>
    </row>
    <row r="42" customFormat="false" ht="43.25" hidden="false" customHeight="false" outlineLevel="0" collapsed="false">
      <c r="A42" s="7" t="s">
        <v>483</v>
      </c>
      <c r="B42" s="8" t="s">
        <v>484</v>
      </c>
      <c r="C42" s="8" t="s">
        <v>485</v>
      </c>
      <c r="D42" s="17" t="s">
        <v>204</v>
      </c>
      <c r="E42" s="8" t="s">
        <v>442</v>
      </c>
      <c r="F42" s="8" t="s">
        <v>216</v>
      </c>
      <c r="G42" s="8" t="s">
        <v>486</v>
      </c>
      <c r="H42" s="8" t="s">
        <v>487</v>
      </c>
      <c r="I42" s="8" t="s">
        <v>488</v>
      </c>
      <c r="J42" s="17" t="n">
        <v>3</v>
      </c>
      <c r="K42" s="17" t="n">
        <v>4</v>
      </c>
      <c r="L42" s="17" t="n">
        <f aca="false">J42*K42</f>
        <v>12</v>
      </c>
      <c r="M42" s="17" t="str">
        <f aca="false">IF(L42&gt;=16,"Critical",IF(L42&gt;=10,"High",IF(L42&gt;=5,"Moderate","Low")))</f>
        <v>High</v>
      </c>
      <c r="N42" s="8" t="s">
        <v>489</v>
      </c>
      <c r="O42" s="17" t="s">
        <v>210</v>
      </c>
      <c r="P42" s="17" t="n">
        <v>3</v>
      </c>
      <c r="Q42" s="17" t="n">
        <v>4</v>
      </c>
      <c r="R42" s="17" t="n">
        <f aca="false">P42*Q42</f>
        <v>12</v>
      </c>
      <c r="S42" s="18" t="str">
        <f aca="false">IF(R42&gt;=16,"Critical",IF(R42&gt;=10,"High",IF(R42&gt;=5,"Moderate","Low")))</f>
        <v>High</v>
      </c>
      <c r="T42" s="17" t="n">
        <v>9</v>
      </c>
      <c r="U42" s="17" t="str">
        <f aca="false">IF(R42&lt;=T42,"Within","EXCEEDS")</f>
        <v>EXCEEDS</v>
      </c>
      <c r="V42" s="8" t="s">
        <v>179</v>
      </c>
      <c r="W42" s="8" t="s">
        <v>406</v>
      </c>
      <c r="X42" s="8" t="s">
        <v>180</v>
      </c>
      <c r="Y42" s="8" t="str">
        <f aca="false">IF(S42="Critical","Board Audit Committee",IF(S42="High","Executive Risk Committee",IF(S42="Moderate","CISO","Asset owner")))</f>
        <v>Executive Risk Committee</v>
      </c>
    </row>
    <row r="43" customFormat="false" ht="32.8" hidden="false" customHeight="false" outlineLevel="0" collapsed="false">
      <c r="A43" s="11" t="s">
        <v>490</v>
      </c>
      <c r="B43" s="12" t="s">
        <v>491</v>
      </c>
      <c r="C43" s="12" t="s">
        <v>85</v>
      </c>
      <c r="D43" s="19" t="s">
        <v>204</v>
      </c>
      <c r="E43" s="12" t="s">
        <v>464</v>
      </c>
      <c r="F43" s="12" t="s">
        <v>245</v>
      </c>
      <c r="G43" s="12" t="s">
        <v>492</v>
      </c>
      <c r="H43" s="12" t="s">
        <v>493</v>
      </c>
      <c r="I43" s="12" t="s">
        <v>494</v>
      </c>
      <c r="J43" s="19" t="n">
        <v>4</v>
      </c>
      <c r="K43" s="19" t="n">
        <v>2</v>
      </c>
      <c r="L43" s="19" t="n">
        <f aca="false">J43*K43</f>
        <v>8</v>
      </c>
      <c r="M43" s="17" t="str">
        <f aca="false">IF(L43&gt;=16,"Critical",IF(L43&gt;=10,"High",IF(L43&gt;=5,"Moderate","Low")))</f>
        <v>Moderate</v>
      </c>
      <c r="N43" s="12" t="s">
        <v>495</v>
      </c>
      <c r="O43" s="19" t="s">
        <v>210</v>
      </c>
      <c r="P43" s="19" t="n">
        <v>4</v>
      </c>
      <c r="Q43" s="19" t="n">
        <v>2</v>
      </c>
      <c r="R43" s="19" t="n">
        <f aca="false">P43*Q43</f>
        <v>8</v>
      </c>
      <c r="S43" s="18" t="str">
        <f aca="false">IF(R43&gt;=16,"Critical",IF(R43&gt;=10,"High",IF(R43&gt;=5,"Moderate","Low")))</f>
        <v>Moderate</v>
      </c>
      <c r="T43" s="19" t="n">
        <v>9</v>
      </c>
      <c r="U43" s="17" t="str">
        <f aca="false">IF(R43&lt;=T43,"Within","EXCEEDS")</f>
        <v>Within</v>
      </c>
      <c r="V43" s="12" t="s">
        <v>179</v>
      </c>
      <c r="W43" s="12" t="s">
        <v>241</v>
      </c>
      <c r="X43" s="12" t="s">
        <v>250</v>
      </c>
      <c r="Y43" s="12" t="str">
        <f aca="false">IF(S43="Critical","Board Audit Committee",IF(S43="High","Executive Risk Committee",IF(S43="Moderate","CISO","Asset owner")))</f>
        <v>CISO</v>
      </c>
    </row>
    <row r="44" customFormat="false" ht="32.8" hidden="false" customHeight="false" outlineLevel="0" collapsed="false">
      <c r="A44" s="7" t="s">
        <v>496</v>
      </c>
      <c r="B44" s="8" t="s">
        <v>497</v>
      </c>
      <c r="C44" s="8" t="s">
        <v>485</v>
      </c>
      <c r="D44" s="17" t="s">
        <v>235</v>
      </c>
      <c r="E44" s="8" t="s">
        <v>498</v>
      </c>
      <c r="F44" s="8" t="s">
        <v>245</v>
      </c>
      <c r="G44" s="8" t="s">
        <v>499</v>
      </c>
      <c r="H44" s="8" t="s">
        <v>500</v>
      </c>
      <c r="I44" s="8" t="s">
        <v>501</v>
      </c>
      <c r="J44" s="17" t="n">
        <v>4</v>
      </c>
      <c r="K44" s="17" t="n">
        <v>3</v>
      </c>
      <c r="L44" s="17" t="n">
        <f aca="false">J44*K44</f>
        <v>12</v>
      </c>
      <c r="M44" s="17" t="str">
        <f aca="false">IF(L44&gt;=16,"Critical",IF(L44&gt;=10,"High",IF(L44&gt;=5,"Moderate","Low")))</f>
        <v>High</v>
      </c>
      <c r="N44" s="8" t="s">
        <v>502</v>
      </c>
      <c r="O44" s="17" t="s">
        <v>221</v>
      </c>
      <c r="P44" s="17" t="n">
        <v>4</v>
      </c>
      <c r="Q44" s="17" t="n">
        <v>3</v>
      </c>
      <c r="R44" s="17" t="n">
        <f aca="false">P44*Q44</f>
        <v>12</v>
      </c>
      <c r="S44" s="18" t="str">
        <f aca="false">IF(R44&gt;=16,"Critical",IF(R44&gt;=10,"High",IF(R44&gt;=5,"Moderate","Low")))</f>
        <v>High</v>
      </c>
      <c r="T44" s="17" t="n">
        <v>9</v>
      </c>
      <c r="U44" s="17" t="str">
        <f aca="false">IF(R44&lt;=T44,"Within","EXCEEDS")</f>
        <v>EXCEEDS</v>
      </c>
      <c r="V44" s="8" t="s">
        <v>179</v>
      </c>
      <c r="W44" s="8" t="s">
        <v>241</v>
      </c>
      <c r="X44" s="8" t="s">
        <v>180</v>
      </c>
      <c r="Y44" s="8" t="str">
        <f aca="false">IF(S44="Critical","Board Audit Committee",IF(S44="High","Executive Risk Committee",IF(S44="Moderate","CISO","Asset owner")))</f>
        <v>Executive Risk Committee</v>
      </c>
    </row>
    <row r="45" customFormat="false" ht="32.8" hidden="false" customHeight="false" outlineLevel="0" collapsed="false">
      <c r="A45" s="11" t="s">
        <v>503</v>
      </c>
      <c r="B45" s="12" t="s">
        <v>504</v>
      </c>
      <c r="C45" s="12" t="s">
        <v>41</v>
      </c>
      <c r="D45" s="19" t="s">
        <v>347</v>
      </c>
      <c r="E45" s="12" t="s">
        <v>505</v>
      </c>
      <c r="F45" s="12" t="s">
        <v>216</v>
      </c>
      <c r="G45" s="12" t="s">
        <v>506</v>
      </c>
      <c r="H45" s="12" t="s">
        <v>507</v>
      </c>
      <c r="I45" s="12" t="s">
        <v>508</v>
      </c>
      <c r="J45" s="19" t="n">
        <v>4</v>
      </c>
      <c r="K45" s="19" t="n">
        <v>3</v>
      </c>
      <c r="L45" s="19" t="n">
        <f aca="false">J45*K45</f>
        <v>12</v>
      </c>
      <c r="M45" s="17" t="str">
        <f aca="false">IF(L45&gt;=16,"Critical",IF(L45&gt;=10,"High",IF(L45&gt;=5,"Moderate","Low")))</f>
        <v>High</v>
      </c>
      <c r="N45" s="12" t="s">
        <v>509</v>
      </c>
      <c r="O45" s="19" t="s">
        <v>178</v>
      </c>
      <c r="P45" s="19" t="n">
        <v>3</v>
      </c>
      <c r="Q45" s="19" t="n">
        <v>3</v>
      </c>
      <c r="R45" s="19" t="n">
        <f aca="false">P45*Q45</f>
        <v>9</v>
      </c>
      <c r="S45" s="18" t="str">
        <f aca="false">IF(R45&gt;=16,"Critical",IF(R45&gt;=10,"High",IF(R45&gt;=5,"Moderate","Low")))</f>
        <v>Moderate</v>
      </c>
      <c r="T45" s="19" t="n">
        <v>9</v>
      </c>
      <c r="U45" s="17" t="str">
        <f aca="false">IF(R45&lt;=T45,"Within","EXCEEDS")</f>
        <v>Within</v>
      </c>
      <c r="V45" s="12" t="s">
        <v>179</v>
      </c>
      <c r="W45" s="12" t="s">
        <v>43</v>
      </c>
      <c r="X45" s="12" t="s">
        <v>250</v>
      </c>
      <c r="Y45" s="12" t="str">
        <f aca="false">IF(S45="Critical","Board Audit Committee",IF(S45="High","Executive Risk Committee",IF(S45="Moderate","CISO","Asset owner")))</f>
        <v>CISO</v>
      </c>
    </row>
    <row r="46" customFormat="false" ht="32.8" hidden="false" customHeight="false" outlineLevel="0" collapsed="false">
      <c r="A46" s="7" t="s">
        <v>510</v>
      </c>
      <c r="B46" s="8" t="s">
        <v>511</v>
      </c>
      <c r="C46" s="8" t="s">
        <v>434</v>
      </c>
      <c r="D46" s="17" t="s">
        <v>204</v>
      </c>
      <c r="E46" s="8" t="s">
        <v>512</v>
      </c>
      <c r="F46" s="8" t="s">
        <v>216</v>
      </c>
      <c r="G46" s="8" t="s">
        <v>513</v>
      </c>
      <c r="H46" s="8" t="s">
        <v>514</v>
      </c>
      <c r="I46" s="8" t="s">
        <v>515</v>
      </c>
      <c r="J46" s="17" t="n">
        <v>4</v>
      </c>
      <c r="K46" s="17" t="n">
        <v>3</v>
      </c>
      <c r="L46" s="17" t="n">
        <f aca="false">J46*K46</f>
        <v>12</v>
      </c>
      <c r="M46" s="17" t="str">
        <f aca="false">IF(L46&gt;=16,"Critical",IF(L46&gt;=10,"High",IF(L46&gt;=5,"Moderate","Low")))</f>
        <v>High</v>
      </c>
      <c r="N46" s="8" t="s">
        <v>516</v>
      </c>
      <c r="O46" s="17" t="s">
        <v>178</v>
      </c>
      <c r="P46" s="17" t="n">
        <v>3</v>
      </c>
      <c r="Q46" s="17" t="n">
        <v>3</v>
      </c>
      <c r="R46" s="17" t="n">
        <f aca="false">P46*Q46</f>
        <v>9</v>
      </c>
      <c r="S46" s="18" t="str">
        <f aca="false">IF(R46&gt;=16,"Critical",IF(R46&gt;=10,"High",IF(R46&gt;=5,"Moderate","Low")))</f>
        <v>Moderate</v>
      </c>
      <c r="T46" s="17" t="n">
        <v>9</v>
      </c>
      <c r="U46" s="17" t="str">
        <f aca="false">IF(R46&lt;=T46,"Within","EXCEEDS")</f>
        <v>Within</v>
      </c>
      <c r="V46" s="8" t="s">
        <v>192</v>
      </c>
      <c r="W46" s="8" t="s">
        <v>127</v>
      </c>
      <c r="X46" s="8" t="s">
        <v>193</v>
      </c>
      <c r="Y46" s="8" t="str">
        <f aca="false">IF(S46="Critical","Board Audit Committee",IF(S46="High","Executive Risk Committee",IF(S46="Moderate","CISO","Asset owner")))</f>
        <v>CISO</v>
      </c>
    </row>
    <row r="47" customFormat="false" ht="32.8" hidden="false" customHeight="false" outlineLevel="0" collapsed="false">
      <c r="A47" s="11" t="s">
        <v>517</v>
      </c>
      <c r="B47" s="12" t="s">
        <v>518</v>
      </c>
      <c r="C47" s="12" t="s">
        <v>519</v>
      </c>
      <c r="D47" s="19" t="s">
        <v>347</v>
      </c>
      <c r="E47" s="12" t="s">
        <v>505</v>
      </c>
      <c r="F47" s="12" t="s">
        <v>173</v>
      </c>
      <c r="G47" s="12" t="s">
        <v>520</v>
      </c>
      <c r="H47" s="12" t="s">
        <v>521</v>
      </c>
      <c r="I47" s="12" t="s">
        <v>522</v>
      </c>
      <c r="J47" s="19" t="n">
        <v>3</v>
      </c>
      <c r="K47" s="19" t="n">
        <v>4</v>
      </c>
      <c r="L47" s="19" t="n">
        <f aca="false">J47*K47</f>
        <v>12</v>
      </c>
      <c r="M47" s="17" t="str">
        <f aca="false">IF(L47&gt;=16,"Critical",IF(L47&gt;=10,"High",IF(L47&gt;=5,"Moderate","Low")))</f>
        <v>High</v>
      </c>
      <c r="N47" s="12" t="s">
        <v>523</v>
      </c>
      <c r="O47" s="19" t="s">
        <v>178</v>
      </c>
      <c r="P47" s="19" t="n">
        <v>3</v>
      </c>
      <c r="Q47" s="19" t="n">
        <v>3</v>
      </c>
      <c r="R47" s="19" t="n">
        <f aca="false">P47*Q47</f>
        <v>9</v>
      </c>
      <c r="S47" s="18" t="str">
        <f aca="false">IF(R47&gt;=16,"Critical",IF(R47&gt;=10,"High",IF(R47&gt;=5,"Moderate","Low")))</f>
        <v>Moderate</v>
      </c>
      <c r="T47" s="19" t="n">
        <v>9</v>
      </c>
      <c r="U47" s="17" t="str">
        <f aca="false">IF(R47&lt;=T47,"Within","EXCEEDS")</f>
        <v>Within</v>
      </c>
      <c r="V47" s="12" t="s">
        <v>179</v>
      </c>
      <c r="W47" s="12" t="s">
        <v>43</v>
      </c>
      <c r="X47" s="12" t="s">
        <v>250</v>
      </c>
      <c r="Y47" s="12" t="str">
        <f aca="false">IF(S47="Critical","Board Audit Committee",IF(S47="High","Executive Risk Committee",IF(S47="Moderate","CISO","Asset owner")))</f>
        <v>CISO</v>
      </c>
    </row>
    <row r="48" customFormat="false" ht="32.8" hidden="false" customHeight="false" outlineLevel="0" collapsed="false">
      <c r="A48" s="7" t="s">
        <v>524</v>
      </c>
      <c r="B48" s="8" t="s">
        <v>525</v>
      </c>
      <c r="C48" s="8" t="s">
        <v>203</v>
      </c>
      <c r="D48" s="17" t="s">
        <v>204</v>
      </c>
      <c r="E48" s="8" t="s">
        <v>442</v>
      </c>
      <c r="F48" s="8" t="s">
        <v>216</v>
      </c>
      <c r="G48" s="8" t="s">
        <v>526</v>
      </c>
      <c r="H48" s="8" t="s">
        <v>527</v>
      </c>
      <c r="I48" s="8" t="s">
        <v>528</v>
      </c>
      <c r="J48" s="17" t="n">
        <v>3</v>
      </c>
      <c r="K48" s="17" t="n">
        <v>4</v>
      </c>
      <c r="L48" s="17" t="n">
        <f aca="false">J48*K48</f>
        <v>12</v>
      </c>
      <c r="M48" s="17" t="str">
        <f aca="false">IF(L48&gt;=16,"Critical",IF(L48&gt;=10,"High",IF(L48&gt;=5,"Moderate","Low")))</f>
        <v>High</v>
      </c>
      <c r="N48" s="8" t="s">
        <v>529</v>
      </c>
      <c r="O48" s="17" t="s">
        <v>210</v>
      </c>
      <c r="P48" s="17" t="n">
        <v>3</v>
      </c>
      <c r="Q48" s="17" t="n">
        <v>3</v>
      </c>
      <c r="R48" s="17" t="n">
        <f aca="false">P48*Q48</f>
        <v>9</v>
      </c>
      <c r="S48" s="18" t="str">
        <f aca="false">IF(R48&gt;=16,"Critical",IF(R48&gt;=10,"High",IF(R48&gt;=5,"Moderate","Low")))</f>
        <v>Moderate</v>
      </c>
      <c r="T48" s="17" t="n">
        <v>9</v>
      </c>
      <c r="U48" s="17" t="str">
        <f aca="false">IF(R48&lt;=T48,"Within","EXCEEDS")</f>
        <v>Within</v>
      </c>
      <c r="V48" s="8" t="s">
        <v>179</v>
      </c>
      <c r="W48" s="8" t="s">
        <v>530</v>
      </c>
      <c r="X48" s="8" t="s">
        <v>180</v>
      </c>
      <c r="Y48" s="8" t="str">
        <f aca="false">IF(S48="Critical","Board Audit Committee",IF(S48="High","Executive Risk Committee",IF(S48="Moderate","CISO","Asset owner")))</f>
        <v>CISO</v>
      </c>
    </row>
    <row r="49" customFormat="false" ht="43.25" hidden="false" customHeight="false" outlineLevel="0" collapsed="false">
      <c r="A49" s="11" t="s">
        <v>531</v>
      </c>
      <c r="B49" s="12" t="s">
        <v>532</v>
      </c>
      <c r="C49" s="12" t="s">
        <v>61</v>
      </c>
      <c r="D49" s="19" t="s">
        <v>235</v>
      </c>
      <c r="E49" s="12" t="s">
        <v>498</v>
      </c>
      <c r="F49" s="12" t="s">
        <v>216</v>
      </c>
      <c r="G49" s="12" t="s">
        <v>533</v>
      </c>
      <c r="H49" s="12" t="s">
        <v>534</v>
      </c>
      <c r="I49" s="12" t="s">
        <v>535</v>
      </c>
      <c r="J49" s="19" t="n">
        <v>3</v>
      </c>
      <c r="K49" s="19" t="n">
        <v>4</v>
      </c>
      <c r="L49" s="19" t="n">
        <f aca="false">J49*K49</f>
        <v>12</v>
      </c>
      <c r="M49" s="17" t="str">
        <f aca="false">IF(L49&gt;=16,"Critical",IF(L49&gt;=10,"High",IF(L49&gt;=5,"Moderate","Low")))</f>
        <v>High</v>
      </c>
      <c r="N49" s="12" t="s">
        <v>536</v>
      </c>
      <c r="O49" s="19" t="s">
        <v>210</v>
      </c>
      <c r="P49" s="19" t="n">
        <v>3</v>
      </c>
      <c r="Q49" s="19" t="n">
        <v>3</v>
      </c>
      <c r="R49" s="19" t="n">
        <f aca="false">P49*Q49</f>
        <v>9</v>
      </c>
      <c r="S49" s="18" t="str">
        <f aca="false">IF(R49&gt;=16,"Critical",IF(R49&gt;=10,"High",IF(R49&gt;=5,"Moderate","Low")))</f>
        <v>Moderate</v>
      </c>
      <c r="T49" s="19" t="n">
        <v>9</v>
      </c>
      <c r="U49" s="17" t="str">
        <f aca="false">IF(R49&lt;=T49,"Within","EXCEEDS")</f>
        <v>Within</v>
      </c>
      <c r="V49" s="12" t="s">
        <v>179</v>
      </c>
      <c r="W49" s="12" t="s">
        <v>530</v>
      </c>
      <c r="X49" s="12" t="s">
        <v>231</v>
      </c>
      <c r="Y49" s="12" t="str">
        <f aca="false">IF(S49="Critical","Board Audit Committee",IF(S49="High","Executive Risk Committee",IF(S49="Moderate","CISO","Asset owner")))</f>
        <v>CISO</v>
      </c>
    </row>
    <row r="50" customFormat="false" ht="32.8" hidden="false" customHeight="false" outlineLevel="0" collapsed="false">
      <c r="A50" s="7" t="s">
        <v>537</v>
      </c>
      <c r="B50" s="8" t="s">
        <v>538</v>
      </c>
      <c r="C50" s="8" t="s">
        <v>116</v>
      </c>
      <c r="D50" s="17" t="s">
        <v>235</v>
      </c>
      <c r="E50" s="8" t="s">
        <v>498</v>
      </c>
      <c r="F50" s="8" t="s">
        <v>216</v>
      </c>
      <c r="G50" s="8" t="s">
        <v>539</v>
      </c>
      <c r="H50" s="8" t="s">
        <v>540</v>
      </c>
      <c r="I50" s="8" t="s">
        <v>541</v>
      </c>
      <c r="J50" s="17" t="n">
        <v>3</v>
      </c>
      <c r="K50" s="17" t="n">
        <v>3</v>
      </c>
      <c r="L50" s="17" t="n">
        <f aca="false">J50*K50</f>
        <v>9</v>
      </c>
      <c r="M50" s="17" t="str">
        <f aca="false">IF(L50&gt;=16,"Critical",IF(L50&gt;=10,"High",IF(L50&gt;=5,"Moderate","Low")))</f>
        <v>Moderate</v>
      </c>
      <c r="N50" s="8" t="s">
        <v>542</v>
      </c>
      <c r="O50" s="17" t="s">
        <v>221</v>
      </c>
      <c r="P50" s="17" t="n">
        <v>3</v>
      </c>
      <c r="Q50" s="17" t="n">
        <v>3</v>
      </c>
      <c r="R50" s="17" t="n">
        <f aca="false">P50*Q50</f>
        <v>9</v>
      </c>
      <c r="S50" s="18" t="str">
        <f aca="false">IF(R50&gt;=16,"Critical",IF(R50&gt;=10,"High",IF(R50&gt;=5,"Moderate","Low")))</f>
        <v>Moderate</v>
      </c>
      <c r="T50" s="17" t="n">
        <v>9</v>
      </c>
      <c r="U50" s="17" t="str">
        <f aca="false">IF(R50&lt;=T50,"Within","EXCEEDS")</f>
        <v>Within</v>
      </c>
      <c r="V50" s="8" t="s">
        <v>179</v>
      </c>
      <c r="W50" s="8" t="s">
        <v>82</v>
      </c>
      <c r="X50" s="8" t="s">
        <v>211</v>
      </c>
      <c r="Y50" s="8" t="str">
        <f aca="false">IF(S50="Critical","Board Audit Committee",IF(S50="High","Executive Risk Committee",IF(S50="Moderate","CISO","Asset owner")))</f>
        <v>CISO</v>
      </c>
    </row>
    <row r="51" customFormat="false" ht="32.8" hidden="false" customHeight="false" outlineLevel="0" collapsed="false">
      <c r="A51" s="11" t="s">
        <v>543</v>
      </c>
      <c r="B51" s="12" t="s">
        <v>544</v>
      </c>
      <c r="C51" s="12" t="s">
        <v>545</v>
      </c>
      <c r="D51" s="19" t="s">
        <v>204</v>
      </c>
      <c r="E51" s="12" t="s">
        <v>442</v>
      </c>
      <c r="F51" s="12" t="s">
        <v>173</v>
      </c>
      <c r="G51" s="12" t="s">
        <v>546</v>
      </c>
      <c r="H51" s="12" t="s">
        <v>547</v>
      </c>
      <c r="I51" s="12" t="s">
        <v>548</v>
      </c>
      <c r="J51" s="19" t="n">
        <v>4</v>
      </c>
      <c r="K51" s="19" t="n">
        <v>3</v>
      </c>
      <c r="L51" s="19" t="n">
        <f aca="false">J51*K51</f>
        <v>12</v>
      </c>
      <c r="M51" s="17" t="str">
        <f aca="false">IF(L51&gt;=16,"Critical",IF(L51&gt;=10,"High",IF(L51&gt;=5,"Moderate","Low")))</f>
        <v>High</v>
      </c>
      <c r="N51" s="12" t="s">
        <v>549</v>
      </c>
      <c r="O51" s="19" t="s">
        <v>178</v>
      </c>
      <c r="P51" s="19" t="n">
        <v>3</v>
      </c>
      <c r="Q51" s="19" t="n">
        <v>2</v>
      </c>
      <c r="R51" s="19" t="n">
        <f aca="false">P51*Q51</f>
        <v>6</v>
      </c>
      <c r="S51" s="18" t="str">
        <f aca="false">IF(R51&gt;=16,"Critical",IF(R51&gt;=10,"High",IF(R51&gt;=5,"Moderate","Low")))</f>
        <v>Moderate</v>
      </c>
      <c r="T51" s="19" t="n">
        <v>9</v>
      </c>
      <c r="U51" s="17" t="str">
        <f aca="false">IF(R51&lt;=T51,"Within","EXCEEDS")</f>
        <v>Within</v>
      </c>
      <c r="V51" s="12" t="s">
        <v>179</v>
      </c>
      <c r="W51" s="12" t="s">
        <v>96</v>
      </c>
      <c r="X51" s="12" t="s">
        <v>180</v>
      </c>
      <c r="Y51" s="12" t="str">
        <f aca="false">IF(S51="Critical","Board Audit Committee",IF(S51="High","Executive Risk Committee",IF(S51="Moderate","CISO","Asset owner")))</f>
        <v>CISO</v>
      </c>
    </row>
    <row r="52" customFormat="false" ht="32.8" hidden="false" customHeight="false" outlineLevel="0" collapsed="false">
      <c r="A52" s="7" t="s">
        <v>550</v>
      </c>
      <c r="B52" s="8" t="s">
        <v>551</v>
      </c>
      <c r="C52" s="8" t="s">
        <v>552</v>
      </c>
      <c r="D52" s="17" t="s">
        <v>204</v>
      </c>
      <c r="E52" s="8" t="s">
        <v>512</v>
      </c>
      <c r="F52" s="8" t="s">
        <v>216</v>
      </c>
      <c r="G52" s="8" t="s">
        <v>553</v>
      </c>
      <c r="H52" s="8" t="s">
        <v>554</v>
      </c>
      <c r="I52" s="8" t="s">
        <v>555</v>
      </c>
      <c r="J52" s="17" t="n">
        <v>5</v>
      </c>
      <c r="K52" s="17" t="n">
        <v>2</v>
      </c>
      <c r="L52" s="17" t="n">
        <f aca="false">J52*K52</f>
        <v>10</v>
      </c>
      <c r="M52" s="17" t="str">
        <f aca="false">IF(L52&gt;=16,"Critical",IF(L52&gt;=10,"High",IF(L52&gt;=5,"Moderate","Low")))</f>
        <v>High</v>
      </c>
      <c r="N52" s="8" t="s">
        <v>556</v>
      </c>
      <c r="O52" s="17" t="s">
        <v>178</v>
      </c>
      <c r="P52" s="17" t="n">
        <v>5</v>
      </c>
      <c r="Q52" s="17" t="n">
        <v>2</v>
      </c>
      <c r="R52" s="17" t="n">
        <f aca="false">P52*Q52</f>
        <v>10</v>
      </c>
      <c r="S52" s="18" t="str">
        <f aca="false">IF(R52&gt;=16,"Critical",IF(R52&gt;=10,"High",IF(R52&gt;=5,"Moderate","Low")))</f>
        <v>High</v>
      </c>
      <c r="T52" s="17" t="n">
        <v>9</v>
      </c>
      <c r="U52" s="17" t="str">
        <f aca="false">IF(R52&lt;=T52,"Within","EXCEEDS")</f>
        <v>EXCEEDS</v>
      </c>
      <c r="V52" s="8" t="s">
        <v>179</v>
      </c>
      <c r="W52" s="8" t="s">
        <v>127</v>
      </c>
      <c r="X52" s="8" t="s">
        <v>250</v>
      </c>
      <c r="Y52" s="8" t="str">
        <f aca="false">IF(S52="Critical","Board Audit Committee",IF(S52="High","Executive Risk Committee",IF(S52="Moderate","CISO","Asset owner")))</f>
        <v>Executive Risk Committee</v>
      </c>
    </row>
    <row r="53" customFormat="false" ht="22.35" hidden="false" customHeight="false" outlineLevel="0" collapsed="false">
      <c r="A53" s="11" t="s">
        <v>557</v>
      </c>
      <c r="B53" s="12" t="s">
        <v>558</v>
      </c>
      <c r="C53" s="12" t="s">
        <v>400</v>
      </c>
      <c r="D53" s="19" t="s">
        <v>204</v>
      </c>
      <c r="E53" s="12" t="s">
        <v>512</v>
      </c>
      <c r="F53" s="12" t="s">
        <v>216</v>
      </c>
      <c r="G53" s="12" t="s">
        <v>559</v>
      </c>
      <c r="H53" s="12" t="s">
        <v>560</v>
      </c>
      <c r="I53" s="12" t="s">
        <v>561</v>
      </c>
      <c r="J53" s="19" t="n">
        <v>5</v>
      </c>
      <c r="K53" s="19" t="n">
        <v>2</v>
      </c>
      <c r="L53" s="19" t="n">
        <f aca="false">J53*K53</f>
        <v>10</v>
      </c>
      <c r="M53" s="17" t="str">
        <f aca="false">IF(L53&gt;=16,"Critical",IF(L53&gt;=10,"High",IF(L53&gt;=5,"Moderate","Low")))</f>
        <v>High</v>
      </c>
      <c r="N53" s="12" t="s">
        <v>562</v>
      </c>
      <c r="O53" s="19" t="s">
        <v>178</v>
      </c>
      <c r="P53" s="19" t="n">
        <v>4</v>
      </c>
      <c r="Q53" s="19" t="n">
        <v>2</v>
      </c>
      <c r="R53" s="19" t="n">
        <f aca="false">P53*Q53</f>
        <v>8</v>
      </c>
      <c r="S53" s="18" t="str">
        <f aca="false">IF(R53&gt;=16,"Critical",IF(R53&gt;=10,"High",IF(R53&gt;=5,"Moderate","Low")))</f>
        <v>Moderate</v>
      </c>
      <c r="T53" s="19" t="n">
        <v>9</v>
      </c>
      <c r="U53" s="17" t="str">
        <f aca="false">IF(R53&lt;=T53,"Within","EXCEEDS")</f>
        <v>Within</v>
      </c>
      <c r="V53" s="12" t="s">
        <v>192</v>
      </c>
      <c r="W53" s="12" t="s">
        <v>406</v>
      </c>
      <c r="X53" s="12" t="s">
        <v>193</v>
      </c>
      <c r="Y53" s="12" t="str">
        <f aca="false">IF(S53="Critical","Board Audit Committee",IF(S53="High","Executive Risk Committee",IF(S53="Moderate","CISO","Asset owner")))</f>
        <v>CISO</v>
      </c>
    </row>
    <row r="54" customFormat="false" ht="53.7" hidden="false" customHeight="false" outlineLevel="0" collapsed="false">
      <c r="A54" s="7" t="s">
        <v>563</v>
      </c>
      <c r="B54" s="8" t="s">
        <v>564</v>
      </c>
      <c r="C54" s="8" t="s">
        <v>400</v>
      </c>
      <c r="D54" s="17" t="s">
        <v>204</v>
      </c>
      <c r="E54" s="8" t="s">
        <v>442</v>
      </c>
      <c r="F54" s="8" t="s">
        <v>216</v>
      </c>
      <c r="G54" s="8" t="s">
        <v>565</v>
      </c>
      <c r="H54" s="8" t="s">
        <v>566</v>
      </c>
      <c r="I54" s="8" t="s">
        <v>567</v>
      </c>
      <c r="J54" s="17" t="n">
        <v>4</v>
      </c>
      <c r="K54" s="17" t="n">
        <v>3</v>
      </c>
      <c r="L54" s="17" t="n">
        <f aca="false">J54*K54</f>
        <v>12</v>
      </c>
      <c r="M54" s="17" t="str">
        <f aca="false">IF(L54&gt;=16,"Critical",IF(L54&gt;=10,"High",IF(L54&gt;=5,"Moderate","Low")))</f>
        <v>High</v>
      </c>
      <c r="N54" s="8" t="s">
        <v>568</v>
      </c>
      <c r="O54" s="17" t="s">
        <v>210</v>
      </c>
      <c r="P54" s="17" t="n">
        <v>4</v>
      </c>
      <c r="Q54" s="17" t="n">
        <v>3</v>
      </c>
      <c r="R54" s="17" t="n">
        <f aca="false">P54*Q54</f>
        <v>12</v>
      </c>
      <c r="S54" s="18" t="str">
        <f aca="false">IF(R54&gt;=16,"Critical",IF(R54&gt;=10,"High",IF(R54&gt;=5,"Moderate","Low")))</f>
        <v>High</v>
      </c>
      <c r="T54" s="17" t="n">
        <v>9</v>
      </c>
      <c r="U54" s="17" t="str">
        <f aca="false">IF(R54&lt;=T54,"Within","EXCEEDS")</f>
        <v>EXCEEDS</v>
      </c>
      <c r="V54" s="8" t="s">
        <v>179</v>
      </c>
      <c r="W54" s="8" t="s">
        <v>283</v>
      </c>
      <c r="X54" s="8" t="s">
        <v>231</v>
      </c>
      <c r="Y54" s="8" t="str">
        <f aca="false">IF(S54="Critical","Board Audit Committee",IF(S54="High","Executive Risk Committee",IF(S54="Moderate","CISO","Asset owner")))</f>
        <v>Executive Risk Committee</v>
      </c>
    </row>
    <row r="55" customFormat="false" ht="32.8" hidden="false" customHeight="false" outlineLevel="0" collapsed="false">
      <c r="A55" s="11" t="s">
        <v>569</v>
      </c>
      <c r="B55" s="12" t="s">
        <v>570</v>
      </c>
      <c r="C55" s="12" t="s">
        <v>286</v>
      </c>
      <c r="D55" s="19" t="s">
        <v>204</v>
      </c>
      <c r="E55" s="12" t="s">
        <v>442</v>
      </c>
      <c r="F55" s="12" t="s">
        <v>173</v>
      </c>
      <c r="G55" s="12" t="s">
        <v>571</v>
      </c>
      <c r="H55" s="12" t="s">
        <v>572</v>
      </c>
      <c r="I55" s="12" t="s">
        <v>573</v>
      </c>
      <c r="J55" s="19" t="n">
        <v>3</v>
      </c>
      <c r="K55" s="19" t="n">
        <v>3</v>
      </c>
      <c r="L55" s="19" t="n">
        <f aca="false">J55*K55</f>
        <v>9</v>
      </c>
      <c r="M55" s="17" t="str">
        <f aca="false">IF(L55&gt;=16,"Critical",IF(L55&gt;=10,"High",IF(L55&gt;=5,"Moderate","Low")))</f>
        <v>Moderate</v>
      </c>
      <c r="N55" s="12" t="s">
        <v>574</v>
      </c>
      <c r="O55" s="19" t="s">
        <v>210</v>
      </c>
      <c r="P55" s="19" t="n">
        <v>3</v>
      </c>
      <c r="Q55" s="19" t="n">
        <v>3</v>
      </c>
      <c r="R55" s="19" t="n">
        <f aca="false">P55*Q55</f>
        <v>9</v>
      </c>
      <c r="S55" s="18" t="str">
        <f aca="false">IF(R55&gt;=16,"Critical",IF(R55&gt;=10,"High",IF(R55&gt;=5,"Moderate","Low")))</f>
        <v>Moderate</v>
      </c>
      <c r="T55" s="19" t="n">
        <v>9</v>
      </c>
      <c r="U55" s="17" t="str">
        <f aca="false">IF(R55&lt;=T55,"Within","EXCEEDS")</f>
        <v>Within</v>
      </c>
      <c r="V55" s="12" t="s">
        <v>179</v>
      </c>
      <c r="W55" s="12" t="s">
        <v>96</v>
      </c>
      <c r="X55" s="12" t="s">
        <v>180</v>
      </c>
      <c r="Y55" s="12" t="str">
        <f aca="false">IF(S55="Critical","Board Audit Committee",IF(S55="High","Executive Risk Committee",IF(S55="Moderate","CISO","Asset owner")))</f>
        <v>CISO</v>
      </c>
    </row>
    <row r="56" customFormat="false" ht="32.8" hidden="false" customHeight="false" outlineLevel="0" collapsed="false">
      <c r="A56" s="7" t="s">
        <v>575</v>
      </c>
      <c r="B56" s="8" t="s">
        <v>576</v>
      </c>
      <c r="C56" s="8" t="s">
        <v>577</v>
      </c>
      <c r="D56" s="17" t="s">
        <v>204</v>
      </c>
      <c r="E56" s="8" t="s">
        <v>442</v>
      </c>
      <c r="F56" s="8" t="s">
        <v>173</v>
      </c>
      <c r="G56" s="8" t="s">
        <v>578</v>
      </c>
      <c r="H56" s="8" t="s">
        <v>579</v>
      </c>
      <c r="I56" s="8" t="s">
        <v>580</v>
      </c>
      <c r="J56" s="17" t="n">
        <v>4</v>
      </c>
      <c r="K56" s="17" t="n">
        <v>3</v>
      </c>
      <c r="L56" s="17" t="n">
        <f aca="false">J56*K56</f>
        <v>12</v>
      </c>
      <c r="M56" s="17" t="str">
        <f aca="false">IF(L56&gt;=16,"Critical",IF(L56&gt;=10,"High",IF(L56&gt;=5,"Moderate","Low")))</f>
        <v>High</v>
      </c>
      <c r="N56" s="8" t="s">
        <v>581</v>
      </c>
      <c r="O56" s="17" t="s">
        <v>210</v>
      </c>
      <c r="P56" s="17" t="n">
        <v>4</v>
      </c>
      <c r="Q56" s="17" t="n">
        <v>3</v>
      </c>
      <c r="R56" s="17" t="n">
        <f aca="false">P56*Q56</f>
        <v>12</v>
      </c>
      <c r="S56" s="18" t="str">
        <f aca="false">IF(R56&gt;=16,"Critical",IF(R56&gt;=10,"High",IF(R56&gt;=5,"Moderate","Low")))</f>
        <v>High</v>
      </c>
      <c r="T56" s="17" t="n">
        <v>9</v>
      </c>
      <c r="U56" s="17" t="str">
        <f aca="false">IF(R56&lt;=T56,"Within","EXCEEDS")</f>
        <v>EXCEEDS</v>
      </c>
      <c r="V56" s="8" t="s">
        <v>179</v>
      </c>
      <c r="W56" s="8" t="s">
        <v>96</v>
      </c>
      <c r="X56" s="8" t="s">
        <v>180</v>
      </c>
      <c r="Y56" s="8" t="str">
        <f aca="false">IF(S56="Critical","Board Audit Committee",IF(S56="High","Executive Risk Committee",IF(S56="Moderate","CISO","Asset owner")))</f>
        <v>Executive Risk Committee</v>
      </c>
    </row>
    <row r="57" customFormat="false" ht="43.25" hidden="false" customHeight="false" outlineLevel="0" collapsed="false">
      <c r="A57" s="11" t="s">
        <v>582</v>
      </c>
      <c r="B57" s="12" t="s">
        <v>583</v>
      </c>
      <c r="C57" s="12" t="s">
        <v>584</v>
      </c>
      <c r="D57" s="19" t="s">
        <v>204</v>
      </c>
      <c r="E57" s="12" t="s">
        <v>585</v>
      </c>
      <c r="F57" s="12" t="s">
        <v>186</v>
      </c>
      <c r="G57" s="12" t="s">
        <v>586</v>
      </c>
      <c r="H57" s="12" t="s">
        <v>587</v>
      </c>
      <c r="I57" s="12" t="s">
        <v>588</v>
      </c>
      <c r="J57" s="19" t="n">
        <v>4</v>
      </c>
      <c r="K57" s="19" t="n">
        <v>4</v>
      </c>
      <c r="L57" s="19" t="n">
        <f aca="false">J57*K57</f>
        <v>16</v>
      </c>
      <c r="M57" s="17" t="str">
        <f aca="false">IF(L57&gt;=16,"Critical",IF(L57&gt;=10,"High",IF(L57&gt;=5,"Moderate","Low")))</f>
        <v>Critical</v>
      </c>
      <c r="N57" s="12" t="s">
        <v>589</v>
      </c>
      <c r="O57" s="19" t="s">
        <v>210</v>
      </c>
      <c r="P57" s="19" t="n">
        <v>4</v>
      </c>
      <c r="Q57" s="19" t="n">
        <v>3</v>
      </c>
      <c r="R57" s="19" t="n">
        <f aca="false">P57*Q57</f>
        <v>12</v>
      </c>
      <c r="S57" s="18" t="str">
        <f aca="false">IF(R57&gt;=16,"Critical",IF(R57&gt;=10,"High",IF(R57&gt;=5,"Moderate","Low")))</f>
        <v>High</v>
      </c>
      <c r="T57" s="19" t="n">
        <v>9</v>
      </c>
      <c r="U57" s="17" t="str">
        <f aca="false">IF(R57&lt;=T57,"Within","EXCEEDS")</f>
        <v>EXCEEDS</v>
      </c>
      <c r="V57" s="12" t="s">
        <v>179</v>
      </c>
      <c r="W57" s="12" t="s">
        <v>113</v>
      </c>
      <c r="X57" s="12" t="s">
        <v>180</v>
      </c>
      <c r="Y57" s="12" t="str">
        <f aca="false">IF(S57="Critical","Board Audit Committee",IF(S57="High","Executive Risk Committee",IF(S57="Moderate","CISO","Asset owner")))</f>
        <v>Executive Risk Committee</v>
      </c>
    </row>
    <row r="58" customFormat="false" ht="32.8" hidden="false" customHeight="false" outlineLevel="0" collapsed="false">
      <c r="A58" s="7" t="s">
        <v>590</v>
      </c>
      <c r="B58" s="8" t="s">
        <v>591</v>
      </c>
      <c r="C58" s="8" t="s">
        <v>390</v>
      </c>
      <c r="D58" s="17" t="s">
        <v>204</v>
      </c>
      <c r="E58" s="8" t="s">
        <v>442</v>
      </c>
      <c r="F58" s="8" t="s">
        <v>216</v>
      </c>
      <c r="G58" s="8" t="s">
        <v>592</v>
      </c>
      <c r="H58" s="8" t="s">
        <v>593</v>
      </c>
      <c r="I58" s="8" t="s">
        <v>594</v>
      </c>
      <c r="J58" s="17" t="n">
        <v>3</v>
      </c>
      <c r="K58" s="17" t="n">
        <v>4</v>
      </c>
      <c r="L58" s="17" t="n">
        <f aca="false">J58*K58</f>
        <v>12</v>
      </c>
      <c r="M58" s="17" t="str">
        <f aca="false">IF(L58&gt;=16,"Critical",IF(L58&gt;=10,"High",IF(L58&gt;=5,"Moderate","Low")))</f>
        <v>High</v>
      </c>
      <c r="N58" s="8" t="s">
        <v>595</v>
      </c>
      <c r="O58" s="17" t="s">
        <v>210</v>
      </c>
      <c r="P58" s="17" t="n">
        <v>3</v>
      </c>
      <c r="Q58" s="17" t="n">
        <v>3</v>
      </c>
      <c r="R58" s="17" t="n">
        <f aca="false">P58*Q58</f>
        <v>9</v>
      </c>
      <c r="S58" s="18" t="str">
        <f aca="false">IF(R58&gt;=16,"Critical",IF(R58&gt;=10,"High",IF(R58&gt;=5,"Moderate","Low")))</f>
        <v>Moderate</v>
      </c>
      <c r="T58" s="17" t="n">
        <v>9</v>
      </c>
      <c r="U58" s="17" t="str">
        <f aca="false">IF(R58&lt;=T58,"Within","EXCEEDS")</f>
        <v>Within</v>
      </c>
      <c r="V58" s="8" t="s">
        <v>179</v>
      </c>
      <c r="W58" s="8" t="s">
        <v>396</v>
      </c>
      <c r="X58" s="8" t="s">
        <v>397</v>
      </c>
      <c r="Y58" s="8" t="str">
        <f aca="false">IF(S58="Critical","Board Audit Committee",IF(S58="High","Executive Risk Committee",IF(S58="Moderate","CISO","Asset owner")))</f>
        <v>CISO</v>
      </c>
    </row>
  </sheetData>
  <autoFilter ref="A3:Y58"/>
  <mergeCells count="2">
    <mergeCell ref="A1:Y1"/>
    <mergeCell ref="A2:Y2"/>
  </mergeCells>
  <conditionalFormatting sqref="M4:M58">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"Moderate"</formula>
    </cfRule>
    <cfRule type="cellIs" priority="5" operator="equal" aboveAverage="0" equalAverage="0" bottom="0" percent="0" rank="0" text="" dxfId="11">
      <formula>"Low"</formula>
    </cfRule>
  </conditionalFormatting>
  <conditionalFormatting sqref="S4:S58">
    <cfRule type="cellIs" priority="6" operator="equal" aboveAverage="0" equalAverage="0" bottom="0" percent="0" rank="0" text="" dxfId="8">
      <formula>"Critical"</formula>
    </cfRule>
    <cfRule type="cellIs" priority="7" operator="equal" aboveAverage="0" equalAverage="0" bottom="0" percent="0" rank="0" text="" dxfId="9">
      <formula>"High"</formula>
    </cfRule>
    <cfRule type="cellIs" priority="8" operator="equal" aboveAverage="0" equalAverage="0" bottom="0" percent="0" rank="0" text="" dxfId="10">
      <formula>"Moderate"</formula>
    </cfRule>
    <cfRule type="cellIs" priority="9" operator="equal" aboveAverage="0" equalAverage="0" bottom="0" percent="0" rank="0" text="" dxfId="11">
      <formula>"Low"</formula>
    </cfRule>
  </conditionalFormatting>
  <conditionalFormatting sqref="U4:U58">
    <cfRule type="cellIs" priority="10" operator="equal" aboveAverage="0" equalAverage="0" bottom="0" percent="0" rank="0" text="" dxfId="12">
      <formula>"EXCEEDS"</formula>
    </cfRule>
    <cfRule type="cellIs" priority="11" operator="equal" aboveAverage="0" equalAverage="0" bottom="0" percent="0" rank="0" text="" dxfId="11">
      <formula>"Within"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5" min="3" style="0" width="11"/>
    <col collapsed="false" customWidth="true" hidden="false" outlineLevel="0" max="6" min="6" style="0" width="62"/>
    <col collapsed="false" customWidth="true" hidden="false" outlineLevel="0" max="7" min="7" style="0" width="18"/>
    <col collapsed="false" customWidth="true" hidden="false" outlineLevel="0" max="8" min="8" style="0" width="13"/>
    <col collapsed="false" customWidth="true" hidden="false" outlineLevel="0" max="10" min="9" style="0" width="22"/>
    <col collapsed="false" customWidth="true" hidden="false" outlineLevel="0" max="11" min="11" style="0" width="24"/>
    <col collapsed="false" customWidth="true" hidden="false" outlineLevel="0" max="12" min="12" style="0" width="14"/>
  </cols>
  <sheetData>
    <row r="1" customFormat="false" ht="21.75" hidden="false" customHeight="true" outlineLevel="0" collapsed="false">
      <c r="A1" s="1" t="s">
        <v>596</v>
      </c>
      <c r="B1" s="1"/>
      <c r="C1" s="1"/>
      <c r="D1" s="1"/>
      <c r="E1" s="1"/>
      <c r="F1" s="1"/>
      <c r="G1" s="1"/>
      <c r="H1" s="1"/>
      <c r="I1" s="1"/>
      <c r="J1" s="1"/>
      <c r="K1" s="1"/>
      <c r="L1" s="1"/>
    </row>
    <row r="2" customFormat="false" ht="15" hidden="false" customHeight="false" outlineLevel="0" collapsed="false">
      <c r="A2" s="2" t="s">
        <v>597</v>
      </c>
      <c r="B2" s="2"/>
      <c r="C2" s="2"/>
      <c r="D2" s="2"/>
      <c r="E2" s="2"/>
      <c r="F2" s="2"/>
      <c r="G2" s="2"/>
      <c r="H2" s="2"/>
      <c r="I2" s="2"/>
      <c r="J2" s="2"/>
      <c r="K2" s="2"/>
      <c r="L2" s="2"/>
    </row>
    <row r="3" customFormat="false" ht="43.5" hidden="false" customHeight="true" outlineLevel="0" collapsed="false">
      <c r="A3" s="6" t="s">
        <v>144</v>
      </c>
      <c r="B3" s="6" t="s">
        <v>145</v>
      </c>
      <c r="C3" s="6" t="s">
        <v>161</v>
      </c>
      <c r="D3" s="6" t="s">
        <v>163</v>
      </c>
      <c r="E3" s="6" t="s">
        <v>598</v>
      </c>
      <c r="F3" s="6" t="s">
        <v>599</v>
      </c>
      <c r="G3" s="6" t="s">
        <v>600</v>
      </c>
      <c r="H3" s="6" t="s">
        <v>166</v>
      </c>
      <c r="I3" s="6" t="s">
        <v>601</v>
      </c>
      <c r="J3" s="6" t="s">
        <v>602</v>
      </c>
      <c r="K3" s="6" t="s">
        <v>603</v>
      </c>
      <c r="L3" s="6" t="s">
        <v>604</v>
      </c>
    </row>
    <row r="4" customFormat="false" ht="32.8" hidden="false" customHeight="false" outlineLevel="0" collapsed="false">
      <c r="A4" s="7" t="s">
        <v>168</v>
      </c>
      <c r="B4" s="8" t="s">
        <v>169</v>
      </c>
      <c r="C4" s="20" t="str">
        <f aca="false">'Risk Register'!S4</f>
        <v>High</v>
      </c>
      <c r="D4" s="20" t="str">
        <f aca="false">'Risk Register'!U4</f>
        <v>EXCEEDS</v>
      </c>
      <c r="E4" s="20" t="str">
        <f aca="false">'Risk Register'!V4</f>
        <v>Treat</v>
      </c>
      <c r="F4" s="8" t="s">
        <v>605</v>
      </c>
      <c r="G4" s="8" t="str">
        <f aca="false">'Risk Register'!W4</f>
        <v>Sanjay Mehta</v>
      </c>
      <c r="H4" s="8" t="str">
        <f aca="false">'Risk Register'!X4</f>
        <v>31 Mar 2027</v>
      </c>
      <c r="I4" s="8" t="str">
        <f aca="false">'Risk Register'!W4</f>
        <v>Sanjay Mehta</v>
      </c>
      <c r="J4" s="8" t="str">
        <f aca="false">'Risk Register'!Y4</f>
        <v>Executive Risk Committee</v>
      </c>
      <c r="K4" s="21"/>
      <c r="L4" s="21"/>
    </row>
    <row r="5" customFormat="false" ht="22.35" hidden="false" customHeight="false" outlineLevel="0" collapsed="false">
      <c r="A5" s="11" t="s">
        <v>181</v>
      </c>
      <c r="B5" s="12" t="s">
        <v>182</v>
      </c>
      <c r="C5" s="20" t="str">
        <f aca="false">'Risk Register'!S5</f>
        <v>Moderate</v>
      </c>
      <c r="D5" s="20" t="str">
        <f aca="false">'Risk Register'!U5</f>
        <v>Within</v>
      </c>
      <c r="E5" s="22" t="str">
        <f aca="false">'Risk Register'!V5</f>
        <v>Tolerate</v>
      </c>
      <c r="F5" s="12" t="s">
        <v>606</v>
      </c>
      <c r="G5" s="12" t="str">
        <f aca="false">'Risk Register'!W5</f>
        <v>Sanjay Mehta</v>
      </c>
      <c r="H5" s="12" t="str">
        <f aca="false">'Risk Register'!X5</f>
        <v>n/a</v>
      </c>
      <c r="I5" s="12" t="str">
        <f aca="false">'Risk Register'!W5</f>
        <v>Sanjay Mehta</v>
      </c>
      <c r="J5" s="12" t="str">
        <f aca="false">'Risk Register'!Y5</f>
        <v>CISO</v>
      </c>
      <c r="K5" s="21"/>
      <c r="L5" s="21"/>
    </row>
    <row r="6" customFormat="false" ht="22.35" hidden="false" customHeight="false" outlineLevel="0" collapsed="false">
      <c r="A6" s="7" t="s">
        <v>194</v>
      </c>
      <c r="B6" s="8" t="s">
        <v>195</v>
      </c>
      <c r="C6" s="20" t="str">
        <f aca="false">'Risk Register'!S6</f>
        <v>Moderate</v>
      </c>
      <c r="D6" s="20" t="str">
        <f aca="false">'Risk Register'!U6</f>
        <v>Within</v>
      </c>
      <c r="E6" s="20" t="str">
        <f aca="false">'Risk Register'!V6</f>
        <v>Tolerate</v>
      </c>
      <c r="F6" s="8" t="s">
        <v>606</v>
      </c>
      <c r="G6" s="8" t="str">
        <f aca="false">'Risk Register'!W6</f>
        <v>Oliver Trent</v>
      </c>
      <c r="H6" s="8" t="str">
        <f aca="false">'Risk Register'!X6</f>
        <v>n/a</v>
      </c>
      <c r="I6" s="8" t="str">
        <f aca="false">'Risk Register'!W6</f>
        <v>Oliver Trent</v>
      </c>
      <c r="J6" s="8" t="str">
        <f aca="false">'Risk Register'!Y6</f>
        <v>CISO</v>
      </c>
      <c r="K6" s="21"/>
      <c r="L6" s="21"/>
    </row>
    <row r="7" customFormat="false" ht="32.8" hidden="false" customHeight="false" outlineLevel="0" collapsed="false">
      <c r="A7" s="11" t="s">
        <v>201</v>
      </c>
      <c r="B7" s="12" t="s">
        <v>202</v>
      </c>
      <c r="C7" s="20" t="str">
        <f aca="false">'Risk Register'!S7</f>
        <v>High</v>
      </c>
      <c r="D7" s="20" t="str">
        <f aca="false">'Risk Register'!U7</f>
        <v>EXCEEDS</v>
      </c>
      <c r="E7" s="22" t="str">
        <f aca="false">'Risk Register'!V7</f>
        <v>Treat</v>
      </c>
      <c r="F7" s="12" t="s">
        <v>605</v>
      </c>
      <c r="G7" s="12" t="str">
        <f aca="false">'Risk Register'!W7</f>
        <v>Claire Bennett</v>
      </c>
      <c r="H7" s="12" t="str">
        <f aca="false">'Risk Register'!X7</f>
        <v>30 Nov 2026</v>
      </c>
      <c r="I7" s="12" t="str">
        <f aca="false">'Risk Register'!W7</f>
        <v>Claire Bennett</v>
      </c>
      <c r="J7" s="12" t="str">
        <f aca="false">'Risk Register'!Y7</f>
        <v>Executive Risk Committee</v>
      </c>
      <c r="K7" s="21"/>
      <c r="L7" s="21"/>
    </row>
    <row r="8" customFormat="false" ht="32.8" hidden="false" customHeight="false" outlineLevel="0" collapsed="false">
      <c r="A8" s="7" t="s">
        <v>212</v>
      </c>
      <c r="B8" s="8" t="s">
        <v>213</v>
      </c>
      <c r="C8" s="20" t="str">
        <f aca="false">'Risk Register'!S8</f>
        <v>Critical</v>
      </c>
      <c r="D8" s="20" t="str">
        <f aca="false">'Risk Register'!U8</f>
        <v>EXCEEDS</v>
      </c>
      <c r="E8" s="20" t="str">
        <f aca="false">'Risk Register'!V8</f>
        <v>Treat</v>
      </c>
      <c r="F8" s="8" t="s">
        <v>605</v>
      </c>
      <c r="G8" s="8" t="str">
        <f aca="false">'Risk Register'!W8</f>
        <v>Claire Bennett</v>
      </c>
      <c r="H8" s="8" t="str">
        <f aca="false">'Risk Register'!X8</f>
        <v>31 Mar 2027</v>
      </c>
      <c r="I8" s="8" t="str">
        <f aca="false">'Risk Register'!W8</f>
        <v>Claire Bennett</v>
      </c>
      <c r="J8" s="8" t="str">
        <f aca="false">'Risk Register'!Y8</f>
        <v>Board Audit Committee</v>
      </c>
      <c r="K8" s="21"/>
      <c r="L8" s="21"/>
    </row>
    <row r="9" customFormat="false" ht="32.8" hidden="false" customHeight="false" outlineLevel="0" collapsed="false">
      <c r="A9" s="11" t="s">
        <v>222</v>
      </c>
      <c r="B9" s="12" t="s">
        <v>223</v>
      </c>
      <c r="C9" s="20" t="str">
        <f aca="false">'Risk Register'!S9</f>
        <v>High</v>
      </c>
      <c r="D9" s="20" t="str">
        <f aca="false">'Risk Register'!U9</f>
        <v>EXCEEDS</v>
      </c>
      <c r="E9" s="22" t="str">
        <f aca="false">'Risk Register'!V9</f>
        <v>Treat</v>
      </c>
      <c r="F9" s="12" t="s">
        <v>605</v>
      </c>
      <c r="G9" s="12" t="str">
        <f aca="false">'Risk Register'!W9</f>
        <v>Tomas Vidal</v>
      </c>
      <c r="H9" s="12" t="str">
        <f aca="false">'Risk Register'!X9</f>
        <v>31 Jan 2027</v>
      </c>
      <c r="I9" s="12" t="str">
        <f aca="false">'Risk Register'!W9</f>
        <v>Tomas Vidal</v>
      </c>
      <c r="J9" s="12" t="str">
        <f aca="false">'Risk Register'!Y9</f>
        <v>Executive Risk Committee</v>
      </c>
      <c r="K9" s="21"/>
      <c r="L9" s="21"/>
    </row>
    <row r="10" customFormat="false" ht="32.8" hidden="false" customHeight="false" outlineLevel="0" collapsed="false">
      <c r="A10" s="7" t="s">
        <v>232</v>
      </c>
      <c r="B10" s="8" t="s">
        <v>233</v>
      </c>
      <c r="C10" s="20" t="str">
        <f aca="false">'Risk Register'!S10</f>
        <v>High</v>
      </c>
      <c r="D10" s="20" t="str">
        <f aca="false">'Risk Register'!U10</f>
        <v>EXCEEDS</v>
      </c>
      <c r="E10" s="20" t="str">
        <f aca="false">'Risk Register'!V10</f>
        <v>Treat</v>
      </c>
      <c r="F10" s="8" t="s">
        <v>605</v>
      </c>
      <c r="G10" s="8" t="str">
        <f aca="false">'Risk Register'!W10</f>
        <v>Elena Petrova</v>
      </c>
      <c r="H10" s="8" t="str">
        <f aca="false">'Risk Register'!X10</f>
        <v>31 Jan 2027</v>
      </c>
      <c r="I10" s="8" t="str">
        <f aca="false">'Risk Register'!W10</f>
        <v>Elena Petrova</v>
      </c>
      <c r="J10" s="8" t="str">
        <f aca="false">'Risk Register'!Y10</f>
        <v>Executive Risk Committee</v>
      </c>
      <c r="K10" s="21"/>
      <c r="L10" s="21"/>
    </row>
    <row r="11" customFormat="false" ht="32.8" hidden="false" customHeight="false" outlineLevel="0" collapsed="false">
      <c r="A11" s="11" t="s">
        <v>242</v>
      </c>
      <c r="B11" s="12" t="s">
        <v>243</v>
      </c>
      <c r="C11" s="20" t="str">
        <f aca="false">'Risk Register'!S11</f>
        <v>Moderate</v>
      </c>
      <c r="D11" s="20" t="str">
        <f aca="false">'Risk Register'!U11</f>
        <v>Within</v>
      </c>
      <c r="E11" s="22" t="str">
        <f aca="false">'Risk Register'!V11</f>
        <v>Treat</v>
      </c>
      <c r="F11" s="12" t="s">
        <v>605</v>
      </c>
      <c r="G11" s="12" t="str">
        <f aca="false">'Risk Register'!W11</f>
        <v>Oliver Trent</v>
      </c>
      <c r="H11" s="12" t="str">
        <f aca="false">'Risk Register'!X11</f>
        <v>30 Jun 2027</v>
      </c>
      <c r="I11" s="12" t="str">
        <f aca="false">'Risk Register'!W11</f>
        <v>Oliver Trent</v>
      </c>
      <c r="J11" s="12" t="str">
        <f aca="false">'Risk Register'!Y11</f>
        <v>CISO</v>
      </c>
      <c r="K11" s="21"/>
      <c r="L11" s="21"/>
    </row>
    <row r="12" customFormat="false" ht="32.8" hidden="false" customHeight="false" outlineLevel="0" collapsed="false">
      <c r="A12" s="7" t="s">
        <v>251</v>
      </c>
      <c r="B12" s="8" t="s">
        <v>252</v>
      </c>
      <c r="C12" s="20" t="str">
        <f aca="false">'Risk Register'!S12</f>
        <v>High</v>
      </c>
      <c r="D12" s="20" t="str">
        <f aca="false">'Risk Register'!U12</f>
        <v>EXCEEDS</v>
      </c>
      <c r="E12" s="20" t="str">
        <f aca="false">'Risk Register'!V12</f>
        <v>Treat</v>
      </c>
      <c r="F12" s="8" t="s">
        <v>605</v>
      </c>
      <c r="G12" s="8" t="str">
        <f aca="false">'Risk Register'!W12</f>
        <v>Elena Petrova</v>
      </c>
      <c r="H12" s="8" t="str">
        <f aca="false">'Risk Register'!X12</f>
        <v>31 Mar 2027</v>
      </c>
      <c r="I12" s="8" t="str">
        <f aca="false">'Risk Register'!W12</f>
        <v>Elena Petrova</v>
      </c>
      <c r="J12" s="8" t="str">
        <f aca="false">'Risk Register'!Y12</f>
        <v>Executive Risk Committee</v>
      </c>
      <c r="K12" s="21"/>
      <c r="L12" s="21"/>
    </row>
    <row r="13" customFormat="false" ht="32.8" hidden="false" customHeight="false" outlineLevel="0" collapsed="false">
      <c r="A13" s="11" t="s">
        <v>259</v>
      </c>
      <c r="B13" s="12" t="s">
        <v>260</v>
      </c>
      <c r="C13" s="20" t="str">
        <f aca="false">'Risk Register'!S13</f>
        <v>High</v>
      </c>
      <c r="D13" s="20" t="str">
        <f aca="false">'Risk Register'!U13</f>
        <v>EXCEEDS</v>
      </c>
      <c r="E13" s="22" t="str">
        <f aca="false">'Risk Register'!V13</f>
        <v>Treat</v>
      </c>
      <c r="F13" s="12" t="s">
        <v>605</v>
      </c>
      <c r="G13" s="12" t="str">
        <f aca="false">'Risk Register'!W13</f>
        <v>Elena Petrova</v>
      </c>
      <c r="H13" s="12" t="str">
        <f aca="false">'Risk Register'!X13</f>
        <v>31 Mar 2027</v>
      </c>
      <c r="I13" s="12" t="str">
        <f aca="false">'Risk Register'!W13</f>
        <v>Elena Petrova</v>
      </c>
      <c r="J13" s="12" t="str">
        <f aca="false">'Risk Register'!Y13</f>
        <v>Executive Risk Committee</v>
      </c>
      <c r="K13" s="21"/>
      <c r="L13" s="21"/>
    </row>
    <row r="14" customFormat="false" ht="22.35" hidden="false" customHeight="false" outlineLevel="0" collapsed="false">
      <c r="A14" s="7" t="s">
        <v>267</v>
      </c>
      <c r="B14" s="8" t="s">
        <v>268</v>
      </c>
      <c r="C14" s="20" t="str">
        <f aca="false">'Risk Register'!S14</f>
        <v>Moderate</v>
      </c>
      <c r="D14" s="20" t="str">
        <f aca="false">'Risk Register'!U14</f>
        <v>Within</v>
      </c>
      <c r="E14" s="20" t="str">
        <f aca="false">'Risk Register'!V14</f>
        <v>Tolerate</v>
      </c>
      <c r="F14" s="8" t="s">
        <v>606</v>
      </c>
      <c r="G14" s="8" t="str">
        <f aca="false">'Risk Register'!W14</f>
        <v>Ruth Nakamura</v>
      </c>
      <c r="H14" s="8" t="str">
        <f aca="false">'Risk Register'!X14</f>
        <v>n/a</v>
      </c>
      <c r="I14" s="8" t="str">
        <f aca="false">'Risk Register'!W14</f>
        <v>Ruth Nakamura</v>
      </c>
      <c r="J14" s="8" t="str">
        <f aca="false">'Risk Register'!Y14</f>
        <v>CISO</v>
      </c>
      <c r="K14" s="21"/>
      <c r="L14" s="21"/>
    </row>
    <row r="15" customFormat="false" ht="32.8" hidden="false" customHeight="false" outlineLevel="0" collapsed="false">
      <c r="A15" s="11" t="s">
        <v>276</v>
      </c>
      <c r="B15" s="12" t="s">
        <v>277</v>
      </c>
      <c r="C15" s="20" t="str">
        <f aca="false">'Risk Register'!S15</f>
        <v>Moderate</v>
      </c>
      <c r="D15" s="20" t="str">
        <f aca="false">'Risk Register'!U15</f>
        <v>Within</v>
      </c>
      <c r="E15" s="22" t="str">
        <f aca="false">'Risk Register'!V15</f>
        <v>Treat</v>
      </c>
      <c r="F15" s="12" t="s">
        <v>605</v>
      </c>
      <c r="G15" s="12" t="str">
        <f aca="false">'Risk Register'!W15</f>
        <v>Helen Achebe-Ward</v>
      </c>
      <c r="H15" s="12" t="str">
        <f aca="false">'Risk Register'!X15</f>
        <v>31 Mar 2027</v>
      </c>
      <c r="I15" s="12" t="str">
        <f aca="false">'Risk Register'!W15</f>
        <v>Helen Achebe-Ward</v>
      </c>
      <c r="J15" s="12" t="str">
        <f aca="false">'Risk Register'!Y15</f>
        <v>CISO</v>
      </c>
      <c r="K15" s="21"/>
      <c r="L15" s="21"/>
    </row>
    <row r="16" customFormat="false" ht="32.8" hidden="false" customHeight="false" outlineLevel="0" collapsed="false">
      <c r="A16" s="7" t="s">
        <v>284</v>
      </c>
      <c r="B16" s="8" t="s">
        <v>285</v>
      </c>
      <c r="C16" s="20" t="str">
        <f aca="false">'Risk Register'!S16</f>
        <v>High</v>
      </c>
      <c r="D16" s="20" t="str">
        <f aca="false">'Risk Register'!U16</f>
        <v>EXCEEDS</v>
      </c>
      <c r="E16" s="20" t="str">
        <f aca="false">'Risk Register'!V16</f>
        <v>Treat</v>
      </c>
      <c r="F16" s="8" t="s">
        <v>605</v>
      </c>
      <c r="G16" s="8" t="str">
        <f aca="false">'Risk Register'!W16</f>
        <v>Sanjay Mehta</v>
      </c>
      <c r="H16" s="8" t="str">
        <f aca="false">'Risk Register'!X16</f>
        <v>31 Mar 2027</v>
      </c>
      <c r="I16" s="8" t="str">
        <f aca="false">'Risk Register'!W16</f>
        <v>Sanjay Mehta</v>
      </c>
      <c r="J16" s="8" t="str">
        <f aca="false">'Risk Register'!Y16</f>
        <v>Executive Risk Committee</v>
      </c>
      <c r="K16" s="21"/>
      <c r="L16" s="21"/>
    </row>
    <row r="17" customFormat="false" ht="32.8" hidden="false" customHeight="false" outlineLevel="0" collapsed="false">
      <c r="A17" s="11" t="s">
        <v>292</v>
      </c>
      <c r="B17" s="12" t="s">
        <v>293</v>
      </c>
      <c r="C17" s="20" t="str">
        <f aca="false">'Risk Register'!S17</f>
        <v>High</v>
      </c>
      <c r="D17" s="20" t="str">
        <f aca="false">'Risk Register'!U17</f>
        <v>EXCEEDS</v>
      </c>
      <c r="E17" s="22" t="str">
        <f aca="false">'Risk Register'!V17</f>
        <v>Treat</v>
      </c>
      <c r="F17" s="12" t="s">
        <v>605</v>
      </c>
      <c r="G17" s="12" t="str">
        <f aca="false">'Risk Register'!W17</f>
        <v>Sanjay Mehta</v>
      </c>
      <c r="H17" s="12" t="str">
        <f aca="false">'Risk Register'!X17</f>
        <v>31 Mar 2027</v>
      </c>
      <c r="I17" s="12" t="str">
        <f aca="false">'Risk Register'!W17</f>
        <v>Sanjay Mehta</v>
      </c>
      <c r="J17" s="12" t="str">
        <f aca="false">'Risk Register'!Y17</f>
        <v>Executive Risk Committee</v>
      </c>
      <c r="K17" s="21"/>
      <c r="L17" s="21"/>
    </row>
    <row r="18" customFormat="false" ht="32.8" hidden="false" customHeight="false" outlineLevel="0" collapsed="false">
      <c r="A18" s="7" t="s">
        <v>299</v>
      </c>
      <c r="B18" s="8" t="s">
        <v>300</v>
      </c>
      <c r="C18" s="20" t="str">
        <f aca="false">'Risk Register'!S18</f>
        <v>High</v>
      </c>
      <c r="D18" s="20" t="str">
        <f aca="false">'Risk Register'!U18</f>
        <v>EXCEEDS</v>
      </c>
      <c r="E18" s="20" t="str">
        <f aca="false">'Risk Register'!V18</f>
        <v>Treat</v>
      </c>
      <c r="F18" s="8" t="s">
        <v>605</v>
      </c>
      <c r="G18" s="8" t="str">
        <f aca="false">'Risk Register'!W18</f>
        <v>Sanjay Mehta</v>
      </c>
      <c r="H18" s="8" t="str">
        <f aca="false">'Risk Register'!X18</f>
        <v>31 Mar 2027</v>
      </c>
      <c r="I18" s="8" t="str">
        <f aca="false">'Risk Register'!W18</f>
        <v>Sanjay Mehta</v>
      </c>
      <c r="J18" s="8" t="str">
        <f aca="false">'Risk Register'!Y18</f>
        <v>Executive Risk Committee</v>
      </c>
      <c r="K18" s="21"/>
      <c r="L18" s="21"/>
    </row>
    <row r="19" customFormat="false" ht="32.8" hidden="false" customHeight="false" outlineLevel="0" collapsed="false">
      <c r="A19" s="11" t="s">
        <v>307</v>
      </c>
      <c r="B19" s="12" t="s">
        <v>308</v>
      </c>
      <c r="C19" s="20" t="str">
        <f aca="false">'Risk Register'!S19</f>
        <v>High</v>
      </c>
      <c r="D19" s="20" t="str">
        <f aca="false">'Risk Register'!U19</f>
        <v>EXCEEDS</v>
      </c>
      <c r="E19" s="22" t="str">
        <f aca="false">'Risk Register'!V19</f>
        <v>Treat</v>
      </c>
      <c r="F19" s="12" t="s">
        <v>605</v>
      </c>
      <c r="G19" s="12" t="str">
        <f aca="false">'Risk Register'!W19</f>
        <v>Amara Diallo</v>
      </c>
      <c r="H19" s="12" t="str">
        <f aca="false">'Risk Register'!X19</f>
        <v>31 Mar 2027</v>
      </c>
      <c r="I19" s="12" t="str">
        <f aca="false">'Risk Register'!W19</f>
        <v>Amara Diallo</v>
      </c>
      <c r="J19" s="12" t="str">
        <f aca="false">'Risk Register'!Y19</f>
        <v>Executive Risk Committee</v>
      </c>
      <c r="K19" s="21"/>
      <c r="L19" s="21"/>
    </row>
    <row r="20" customFormat="false" ht="32.8" hidden="false" customHeight="false" outlineLevel="0" collapsed="false">
      <c r="A20" s="7" t="s">
        <v>314</v>
      </c>
      <c r="B20" s="8" t="s">
        <v>315</v>
      </c>
      <c r="C20" s="20" t="str">
        <f aca="false">'Risk Register'!S20</f>
        <v>Moderate</v>
      </c>
      <c r="D20" s="20" t="str">
        <f aca="false">'Risk Register'!U20</f>
        <v>Within</v>
      </c>
      <c r="E20" s="20" t="str">
        <f aca="false">'Risk Register'!V20</f>
        <v>Treat</v>
      </c>
      <c r="F20" s="8" t="s">
        <v>605</v>
      </c>
      <c r="G20" s="8" t="str">
        <f aca="false">'Risk Register'!W20</f>
        <v>Marcus Lindqvist</v>
      </c>
      <c r="H20" s="8" t="str">
        <f aca="false">'Risk Register'!X20</f>
        <v>31 Mar 2027</v>
      </c>
      <c r="I20" s="8" t="str">
        <f aca="false">'Risk Register'!W20</f>
        <v>Marcus Lindqvist</v>
      </c>
      <c r="J20" s="8" t="str">
        <f aca="false">'Risk Register'!Y20</f>
        <v>CISO</v>
      </c>
      <c r="K20" s="21"/>
      <c r="L20" s="21"/>
    </row>
    <row r="21" customFormat="false" ht="32.8" hidden="false" customHeight="false" outlineLevel="0" collapsed="false">
      <c r="A21" s="11" t="s">
        <v>322</v>
      </c>
      <c r="B21" s="12" t="s">
        <v>323</v>
      </c>
      <c r="C21" s="20" t="str">
        <f aca="false">'Risk Register'!S21</f>
        <v>Moderate</v>
      </c>
      <c r="D21" s="20" t="str">
        <f aca="false">'Risk Register'!U21</f>
        <v>Within</v>
      </c>
      <c r="E21" s="22" t="str">
        <f aca="false">'Risk Register'!V21</f>
        <v>Treat</v>
      </c>
      <c r="F21" s="12" t="s">
        <v>605</v>
      </c>
      <c r="G21" s="12" t="str">
        <f aca="false">'Risk Register'!W21</f>
        <v>Helen Achebe-Ward</v>
      </c>
      <c r="H21" s="12" t="str">
        <f aca="false">'Risk Register'!X21</f>
        <v>31 Jan 2027</v>
      </c>
      <c r="I21" s="12" t="str">
        <f aca="false">'Risk Register'!W21</f>
        <v>Helen Achebe-Ward</v>
      </c>
      <c r="J21" s="12" t="str">
        <f aca="false">'Risk Register'!Y21</f>
        <v>CISO</v>
      </c>
      <c r="K21" s="21"/>
      <c r="L21" s="21"/>
    </row>
    <row r="22" customFormat="false" ht="22.35" hidden="false" customHeight="false" outlineLevel="0" collapsed="false">
      <c r="A22" s="7" t="s">
        <v>330</v>
      </c>
      <c r="B22" s="8" t="s">
        <v>331</v>
      </c>
      <c r="C22" s="20" t="str">
        <f aca="false">'Risk Register'!S22</f>
        <v>Low</v>
      </c>
      <c r="D22" s="20" t="str">
        <f aca="false">'Risk Register'!U22</f>
        <v>Within</v>
      </c>
      <c r="E22" s="20" t="str">
        <f aca="false">'Risk Register'!V22</f>
        <v>Tolerate</v>
      </c>
      <c r="F22" s="8" t="s">
        <v>606</v>
      </c>
      <c r="G22" s="8" t="str">
        <f aca="false">'Risk Register'!W22</f>
        <v>Oliver Trent</v>
      </c>
      <c r="H22" s="8" t="str">
        <f aca="false">'Risk Register'!X22</f>
        <v>n/a</v>
      </c>
      <c r="I22" s="8" t="str">
        <f aca="false">'Risk Register'!W22</f>
        <v>Oliver Trent</v>
      </c>
      <c r="J22" s="8" t="str">
        <f aca="false">'Risk Register'!Y22</f>
        <v>Asset owner</v>
      </c>
      <c r="K22" s="21"/>
      <c r="L22" s="21"/>
    </row>
    <row r="23" customFormat="false" ht="22.35" hidden="false" customHeight="false" outlineLevel="0" collapsed="false">
      <c r="A23" s="11" t="s">
        <v>336</v>
      </c>
      <c r="B23" s="12" t="s">
        <v>337</v>
      </c>
      <c r="C23" s="20" t="str">
        <f aca="false">'Risk Register'!S23</f>
        <v>Moderate</v>
      </c>
      <c r="D23" s="20" t="str">
        <f aca="false">'Risk Register'!U23</f>
        <v>Within</v>
      </c>
      <c r="E23" s="22" t="str">
        <f aca="false">'Risk Register'!V23</f>
        <v>Tolerate</v>
      </c>
      <c r="F23" s="12" t="s">
        <v>606</v>
      </c>
      <c r="G23" s="12" t="str">
        <f aca="false">'Risk Register'!W23</f>
        <v>Sanjay Mehta</v>
      </c>
      <c r="H23" s="12" t="str">
        <f aca="false">'Risk Register'!X23</f>
        <v>n/a</v>
      </c>
      <c r="I23" s="12" t="str">
        <f aca="false">'Risk Register'!W23</f>
        <v>Sanjay Mehta</v>
      </c>
      <c r="J23" s="12" t="str">
        <f aca="false">'Risk Register'!Y23</f>
        <v>CISO</v>
      </c>
      <c r="K23" s="21"/>
      <c r="L23" s="21"/>
    </row>
    <row r="24" customFormat="false" ht="32.8" hidden="false" customHeight="false" outlineLevel="0" collapsed="false">
      <c r="A24" s="7" t="s">
        <v>345</v>
      </c>
      <c r="B24" s="8" t="s">
        <v>346</v>
      </c>
      <c r="C24" s="20" t="str">
        <f aca="false">'Risk Register'!S24</f>
        <v>Moderate</v>
      </c>
      <c r="D24" s="20" t="str">
        <f aca="false">'Risk Register'!U24</f>
        <v>Within</v>
      </c>
      <c r="E24" s="20" t="str">
        <f aca="false">'Risk Register'!V24</f>
        <v>Treat</v>
      </c>
      <c r="F24" s="8" t="s">
        <v>605</v>
      </c>
      <c r="G24" s="8" t="str">
        <f aca="false">'Risk Register'!W24</f>
        <v>Oliver Trent</v>
      </c>
      <c r="H24" s="8" t="str">
        <f aca="false">'Risk Register'!X24</f>
        <v>30 Jun 2027</v>
      </c>
      <c r="I24" s="8" t="str">
        <f aca="false">'Risk Register'!W24</f>
        <v>Oliver Trent</v>
      </c>
      <c r="J24" s="8" t="str">
        <f aca="false">'Risk Register'!Y24</f>
        <v>CISO</v>
      </c>
      <c r="K24" s="21"/>
      <c r="L24" s="21"/>
    </row>
    <row r="25" customFormat="false" ht="22.35" hidden="false" customHeight="false" outlineLevel="0" collapsed="false">
      <c r="A25" s="11" t="s">
        <v>352</v>
      </c>
      <c r="B25" s="12" t="s">
        <v>353</v>
      </c>
      <c r="C25" s="20" t="str">
        <f aca="false">'Risk Register'!S25</f>
        <v>Moderate</v>
      </c>
      <c r="D25" s="20" t="str">
        <f aca="false">'Risk Register'!U25</f>
        <v>Within</v>
      </c>
      <c r="E25" s="22" t="str">
        <f aca="false">'Risk Register'!V25</f>
        <v>Tolerate</v>
      </c>
      <c r="F25" s="12" t="s">
        <v>606</v>
      </c>
      <c r="G25" s="12" t="str">
        <f aca="false">'Risk Register'!W25</f>
        <v>Amara Diallo</v>
      </c>
      <c r="H25" s="12" t="str">
        <f aca="false">'Risk Register'!X25</f>
        <v>n/a</v>
      </c>
      <c r="I25" s="12" t="str">
        <f aca="false">'Risk Register'!W25</f>
        <v>Amara Diallo</v>
      </c>
      <c r="J25" s="12" t="str">
        <f aca="false">'Risk Register'!Y25</f>
        <v>CISO</v>
      </c>
      <c r="K25" s="21"/>
      <c r="L25" s="21"/>
    </row>
    <row r="26" customFormat="false" ht="22.35" hidden="false" customHeight="false" outlineLevel="0" collapsed="false">
      <c r="A26" s="7" t="s">
        <v>359</v>
      </c>
      <c r="B26" s="8" t="s">
        <v>360</v>
      </c>
      <c r="C26" s="20" t="str">
        <f aca="false">'Risk Register'!S26</f>
        <v>Moderate</v>
      </c>
      <c r="D26" s="20" t="str">
        <f aca="false">'Risk Register'!U26</f>
        <v>Within</v>
      </c>
      <c r="E26" s="20" t="str">
        <f aca="false">'Risk Register'!V26</f>
        <v>Tolerate</v>
      </c>
      <c r="F26" s="8" t="s">
        <v>606</v>
      </c>
      <c r="G26" s="8" t="str">
        <f aca="false">'Risk Register'!W26</f>
        <v>Marcus Lindqvist</v>
      </c>
      <c r="H26" s="8" t="str">
        <f aca="false">'Risk Register'!X26</f>
        <v>n/a</v>
      </c>
      <c r="I26" s="8" t="str">
        <f aca="false">'Risk Register'!W26</f>
        <v>Marcus Lindqvist</v>
      </c>
      <c r="J26" s="8" t="str">
        <f aca="false">'Risk Register'!Y26</f>
        <v>CISO</v>
      </c>
      <c r="K26" s="21"/>
      <c r="L26" s="21"/>
    </row>
    <row r="27" customFormat="false" ht="32.8" hidden="false" customHeight="false" outlineLevel="0" collapsed="false">
      <c r="A27" s="11" t="s">
        <v>366</v>
      </c>
      <c r="B27" s="12" t="s">
        <v>367</v>
      </c>
      <c r="C27" s="20" t="str">
        <f aca="false">'Risk Register'!S27</f>
        <v>Moderate</v>
      </c>
      <c r="D27" s="20" t="str">
        <f aca="false">'Risk Register'!U27</f>
        <v>Within</v>
      </c>
      <c r="E27" s="22" t="str">
        <f aca="false">'Risk Register'!V27</f>
        <v>Treat</v>
      </c>
      <c r="F27" s="12" t="s">
        <v>605</v>
      </c>
      <c r="G27" s="12" t="str">
        <f aca="false">'Risk Register'!W27</f>
        <v>Marcus Lindqvist</v>
      </c>
      <c r="H27" s="12" t="str">
        <f aca="false">'Risk Register'!X27</f>
        <v>30 Jun 2027</v>
      </c>
      <c r="I27" s="12" t="str">
        <f aca="false">'Risk Register'!W27</f>
        <v>Marcus Lindqvist</v>
      </c>
      <c r="J27" s="12" t="str">
        <f aca="false">'Risk Register'!Y27</f>
        <v>CISO</v>
      </c>
      <c r="K27" s="21"/>
      <c r="L27" s="21"/>
    </row>
    <row r="28" customFormat="false" ht="22.35" hidden="false" customHeight="false" outlineLevel="0" collapsed="false">
      <c r="A28" s="7" t="s">
        <v>374</v>
      </c>
      <c r="B28" s="8" t="s">
        <v>375</v>
      </c>
      <c r="C28" s="20" t="str">
        <f aca="false">'Risk Register'!S28</f>
        <v>Moderate</v>
      </c>
      <c r="D28" s="20" t="str">
        <f aca="false">'Risk Register'!U28</f>
        <v>Within</v>
      </c>
      <c r="E28" s="20" t="str">
        <f aca="false">'Risk Register'!V28</f>
        <v>Tolerate</v>
      </c>
      <c r="F28" s="8" t="s">
        <v>606</v>
      </c>
      <c r="G28" s="8" t="str">
        <f aca="false">'Risk Register'!W28</f>
        <v>Sanjay Mehta</v>
      </c>
      <c r="H28" s="8" t="str">
        <f aca="false">'Risk Register'!X28</f>
        <v>n/a</v>
      </c>
      <c r="I28" s="8" t="str">
        <f aca="false">'Risk Register'!W28</f>
        <v>Sanjay Mehta</v>
      </c>
      <c r="J28" s="8" t="str">
        <f aca="false">'Risk Register'!Y28</f>
        <v>CISO</v>
      </c>
      <c r="K28" s="21"/>
      <c r="L28" s="21"/>
    </row>
    <row r="29" customFormat="false" ht="32.8" hidden="false" customHeight="false" outlineLevel="0" collapsed="false">
      <c r="A29" s="11" t="s">
        <v>381</v>
      </c>
      <c r="B29" s="12" t="s">
        <v>382</v>
      </c>
      <c r="C29" s="20" t="str">
        <f aca="false">'Risk Register'!S29</f>
        <v>Moderate</v>
      </c>
      <c r="D29" s="20" t="str">
        <f aca="false">'Risk Register'!U29</f>
        <v>Within</v>
      </c>
      <c r="E29" s="22" t="str">
        <f aca="false">'Risk Register'!V29</f>
        <v>Treat</v>
      </c>
      <c r="F29" s="12" t="s">
        <v>605</v>
      </c>
      <c r="G29" s="12" t="str">
        <f aca="false">'Risk Register'!W29</f>
        <v>Grace Lindberg</v>
      </c>
      <c r="H29" s="12" t="str">
        <f aca="false">'Risk Register'!X29</f>
        <v>30 Jun 2027</v>
      </c>
      <c r="I29" s="12" t="str">
        <f aca="false">'Risk Register'!W29</f>
        <v>Grace Lindberg</v>
      </c>
      <c r="J29" s="12" t="str">
        <f aca="false">'Risk Register'!Y29</f>
        <v>CISO</v>
      </c>
      <c r="K29" s="21"/>
      <c r="L29" s="21"/>
    </row>
    <row r="30" customFormat="false" ht="32.8" hidden="false" customHeight="false" outlineLevel="0" collapsed="false">
      <c r="A30" s="7" t="s">
        <v>388</v>
      </c>
      <c r="B30" s="8" t="s">
        <v>389</v>
      </c>
      <c r="C30" s="20" t="str">
        <f aca="false">'Risk Register'!S30</f>
        <v>Moderate</v>
      </c>
      <c r="D30" s="20" t="str">
        <f aca="false">'Risk Register'!U30</f>
        <v>Within</v>
      </c>
      <c r="E30" s="20" t="str">
        <f aca="false">'Risk Register'!V30</f>
        <v>Treat</v>
      </c>
      <c r="F30" s="8" t="s">
        <v>605</v>
      </c>
      <c r="G30" s="8" t="str">
        <f aca="false">'Risk Register'!W30</f>
        <v>Chidi Eze</v>
      </c>
      <c r="H30" s="8" t="str">
        <f aca="false">'Risk Register'!X30</f>
        <v>31 Dec 2026</v>
      </c>
      <c r="I30" s="8" t="str">
        <f aca="false">'Risk Register'!W30</f>
        <v>Chidi Eze</v>
      </c>
      <c r="J30" s="8" t="str">
        <f aca="false">'Risk Register'!Y30</f>
        <v>CISO</v>
      </c>
      <c r="K30" s="21"/>
      <c r="L30" s="21"/>
    </row>
    <row r="31" customFormat="false" ht="22.35" hidden="false" customHeight="false" outlineLevel="0" collapsed="false">
      <c r="A31" s="11" t="s">
        <v>398</v>
      </c>
      <c r="B31" s="12" t="s">
        <v>399</v>
      </c>
      <c r="C31" s="20" t="str">
        <f aca="false">'Risk Register'!S31</f>
        <v>Moderate</v>
      </c>
      <c r="D31" s="20" t="str">
        <f aca="false">'Risk Register'!U31</f>
        <v>Within</v>
      </c>
      <c r="E31" s="22" t="str">
        <f aca="false">'Risk Register'!V31</f>
        <v>Tolerate</v>
      </c>
      <c r="F31" s="12" t="s">
        <v>606</v>
      </c>
      <c r="G31" s="12" t="str">
        <f aca="false">'Risk Register'!W31</f>
        <v>Jonathan Reyes</v>
      </c>
      <c r="H31" s="12" t="str">
        <f aca="false">'Risk Register'!X31</f>
        <v>n/a</v>
      </c>
      <c r="I31" s="12" t="str">
        <f aca="false">'Risk Register'!W31</f>
        <v>Jonathan Reyes</v>
      </c>
      <c r="J31" s="12" t="str">
        <f aca="false">'Risk Register'!Y31</f>
        <v>CISO</v>
      </c>
      <c r="K31" s="21"/>
      <c r="L31" s="21"/>
    </row>
    <row r="32" customFormat="false" ht="32.8" hidden="false" customHeight="false" outlineLevel="0" collapsed="false">
      <c r="A32" s="7" t="s">
        <v>407</v>
      </c>
      <c r="B32" s="8" t="s">
        <v>408</v>
      </c>
      <c r="C32" s="20" t="str">
        <f aca="false">'Risk Register'!S32</f>
        <v>High</v>
      </c>
      <c r="D32" s="20" t="str">
        <f aca="false">'Risk Register'!U32</f>
        <v>EXCEEDS</v>
      </c>
      <c r="E32" s="20" t="str">
        <f aca="false">'Risk Register'!V32</f>
        <v>Treat</v>
      </c>
      <c r="F32" s="8" t="s">
        <v>605</v>
      </c>
      <c r="G32" s="8" t="str">
        <f aca="false">'Risk Register'!W32</f>
        <v>Tomas Vidal</v>
      </c>
      <c r="H32" s="8" t="str">
        <f aca="false">'Risk Register'!X32</f>
        <v>31 Mar 2027</v>
      </c>
      <c r="I32" s="8" t="str">
        <f aca="false">'Risk Register'!W32</f>
        <v>Tomas Vidal</v>
      </c>
      <c r="J32" s="8" t="str">
        <f aca="false">'Risk Register'!Y32</f>
        <v>Executive Risk Committee</v>
      </c>
      <c r="K32" s="21"/>
      <c r="L32" s="21"/>
    </row>
    <row r="33" customFormat="false" ht="32.8" hidden="false" customHeight="false" outlineLevel="0" collapsed="false">
      <c r="A33" s="11" t="s">
        <v>415</v>
      </c>
      <c r="B33" s="12" t="s">
        <v>416</v>
      </c>
      <c r="C33" s="20" t="str">
        <f aca="false">'Risk Register'!S33</f>
        <v>Moderate</v>
      </c>
      <c r="D33" s="20" t="str">
        <f aca="false">'Risk Register'!U33</f>
        <v>Within</v>
      </c>
      <c r="E33" s="22" t="str">
        <f aca="false">'Risk Register'!V33</f>
        <v>Treat</v>
      </c>
      <c r="F33" s="12" t="s">
        <v>605</v>
      </c>
      <c r="G33" s="12" t="str">
        <f aca="false">'Risk Register'!W33</f>
        <v>Tomas Vidal</v>
      </c>
      <c r="H33" s="12" t="str">
        <f aca="false">'Risk Register'!X33</f>
        <v>30 Jun 2027</v>
      </c>
      <c r="I33" s="12" t="str">
        <f aca="false">'Risk Register'!W33</f>
        <v>Tomas Vidal</v>
      </c>
      <c r="J33" s="12" t="str">
        <f aca="false">'Risk Register'!Y33</f>
        <v>CISO</v>
      </c>
      <c r="K33" s="21"/>
      <c r="L33" s="21"/>
    </row>
    <row r="34" customFormat="false" ht="32.8" hidden="false" customHeight="false" outlineLevel="0" collapsed="false">
      <c r="A34" s="7" t="s">
        <v>423</v>
      </c>
      <c r="B34" s="8" t="s">
        <v>424</v>
      </c>
      <c r="C34" s="20" t="str">
        <f aca="false">'Risk Register'!S34</f>
        <v>High</v>
      </c>
      <c r="D34" s="20" t="str">
        <f aca="false">'Risk Register'!U34</f>
        <v>EXCEEDS</v>
      </c>
      <c r="E34" s="20" t="str">
        <f aca="false">'Risk Register'!V34</f>
        <v>Treat</v>
      </c>
      <c r="F34" s="8" t="s">
        <v>605</v>
      </c>
      <c r="G34" s="8" t="str">
        <f aca="false">'Risk Register'!W34</f>
        <v>Jonathan Reyes</v>
      </c>
      <c r="H34" s="8" t="str">
        <f aca="false">'Risk Register'!X34</f>
        <v>31 Mar 2027</v>
      </c>
      <c r="I34" s="8" t="str">
        <f aca="false">'Risk Register'!W34</f>
        <v>Jonathan Reyes</v>
      </c>
      <c r="J34" s="8" t="str">
        <f aca="false">'Risk Register'!Y34</f>
        <v>Executive Risk Committee</v>
      </c>
      <c r="K34" s="21"/>
      <c r="L34" s="21"/>
    </row>
    <row r="35" customFormat="false" ht="32.8" hidden="false" customHeight="false" outlineLevel="0" collapsed="false">
      <c r="A35" s="11" t="s">
        <v>432</v>
      </c>
      <c r="B35" s="12" t="s">
        <v>433</v>
      </c>
      <c r="C35" s="20" t="str">
        <f aca="false">'Risk Register'!S35</f>
        <v>High</v>
      </c>
      <c r="D35" s="20" t="str">
        <f aca="false">'Risk Register'!U35</f>
        <v>EXCEEDS</v>
      </c>
      <c r="E35" s="22" t="str">
        <f aca="false">'Risk Register'!V35</f>
        <v>Treat</v>
      </c>
      <c r="F35" s="12" t="s">
        <v>605</v>
      </c>
      <c r="G35" s="12" t="str">
        <f aca="false">'Risk Register'!W35</f>
        <v>Jonathan Reyes</v>
      </c>
      <c r="H35" s="12" t="str">
        <f aca="false">'Risk Register'!X35</f>
        <v>31 Mar 2027</v>
      </c>
      <c r="I35" s="12" t="str">
        <f aca="false">'Risk Register'!W35</f>
        <v>Jonathan Reyes</v>
      </c>
      <c r="J35" s="12" t="str">
        <f aca="false">'Risk Register'!Y35</f>
        <v>Executive Risk Committee</v>
      </c>
      <c r="K35" s="21"/>
      <c r="L35" s="21"/>
    </row>
    <row r="36" customFormat="false" ht="32.8" hidden="false" customHeight="false" outlineLevel="0" collapsed="false">
      <c r="A36" s="7" t="s">
        <v>440</v>
      </c>
      <c r="B36" s="8" t="s">
        <v>441</v>
      </c>
      <c r="C36" s="20" t="str">
        <f aca="false">'Risk Register'!S36</f>
        <v>Moderate</v>
      </c>
      <c r="D36" s="20" t="str">
        <f aca="false">'Risk Register'!U36</f>
        <v>Within</v>
      </c>
      <c r="E36" s="20" t="str">
        <f aca="false">'Risk Register'!V36</f>
        <v>Treat</v>
      </c>
      <c r="F36" s="8" t="s">
        <v>605</v>
      </c>
      <c r="G36" s="8" t="str">
        <f aca="false">'Risk Register'!W36</f>
        <v>Jonathan Reyes</v>
      </c>
      <c r="H36" s="8" t="str">
        <f aca="false">'Risk Register'!X36</f>
        <v>31 Dec 2026</v>
      </c>
      <c r="I36" s="8" t="str">
        <f aca="false">'Risk Register'!W36</f>
        <v>Jonathan Reyes</v>
      </c>
      <c r="J36" s="8" t="str">
        <f aca="false">'Risk Register'!Y36</f>
        <v>CISO</v>
      </c>
      <c r="K36" s="21"/>
      <c r="L36" s="21"/>
    </row>
    <row r="37" customFormat="false" ht="32.8" hidden="false" customHeight="false" outlineLevel="0" collapsed="false">
      <c r="A37" s="11" t="s">
        <v>447</v>
      </c>
      <c r="B37" s="12" t="s">
        <v>448</v>
      </c>
      <c r="C37" s="20" t="str">
        <f aca="false">'Risk Register'!S37</f>
        <v>High</v>
      </c>
      <c r="D37" s="20" t="str">
        <f aca="false">'Risk Register'!U37</f>
        <v>EXCEEDS</v>
      </c>
      <c r="E37" s="22" t="str">
        <f aca="false">'Risk Register'!V37</f>
        <v>Treat</v>
      </c>
      <c r="F37" s="12" t="s">
        <v>605</v>
      </c>
      <c r="G37" s="12" t="str">
        <f aca="false">'Risk Register'!W37</f>
        <v>Amara Diallo</v>
      </c>
      <c r="H37" s="12" t="str">
        <f aca="false">'Risk Register'!X37</f>
        <v>30 Jun 2027</v>
      </c>
      <c r="I37" s="12" t="str">
        <f aca="false">'Risk Register'!W37</f>
        <v>Amara Diallo</v>
      </c>
      <c r="J37" s="12" t="str">
        <f aca="false">'Risk Register'!Y37</f>
        <v>Executive Risk Committee</v>
      </c>
      <c r="K37" s="21"/>
      <c r="L37" s="21"/>
    </row>
    <row r="38" customFormat="false" ht="32.8" hidden="false" customHeight="false" outlineLevel="0" collapsed="false">
      <c r="A38" s="7" t="s">
        <v>455</v>
      </c>
      <c r="B38" s="8" t="s">
        <v>456</v>
      </c>
      <c r="C38" s="20" t="str">
        <f aca="false">'Risk Register'!S38</f>
        <v>Moderate</v>
      </c>
      <c r="D38" s="20" t="str">
        <f aca="false">'Risk Register'!U38</f>
        <v>Within</v>
      </c>
      <c r="E38" s="20" t="str">
        <f aca="false">'Risk Register'!V38</f>
        <v>Treat</v>
      </c>
      <c r="F38" s="8" t="s">
        <v>605</v>
      </c>
      <c r="G38" s="8" t="str">
        <f aca="false">'Risk Register'!W38</f>
        <v>Jonathan Reyes</v>
      </c>
      <c r="H38" s="8" t="str">
        <f aca="false">'Risk Register'!X38</f>
        <v>31 Mar 2027</v>
      </c>
      <c r="I38" s="8" t="str">
        <f aca="false">'Risk Register'!W38</f>
        <v>Jonathan Reyes</v>
      </c>
      <c r="J38" s="8" t="str">
        <f aca="false">'Risk Register'!Y38</f>
        <v>CISO</v>
      </c>
      <c r="K38" s="21"/>
      <c r="L38" s="21"/>
    </row>
    <row r="39" customFormat="false" ht="32.8" hidden="false" customHeight="false" outlineLevel="0" collapsed="false">
      <c r="A39" s="11" t="s">
        <v>461</v>
      </c>
      <c r="B39" s="12" t="s">
        <v>462</v>
      </c>
      <c r="C39" s="20" t="str">
        <f aca="false">'Risk Register'!S39</f>
        <v>High</v>
      </c>
      <c r="D39" s="20" t="str">
        <f aca="false">'Risk Register'!U39</f>
        <v>EXCEEDS</v>
      </c>
      <c r="E39" s="22" t="str">
        <f aca="false">'Risk Register'!V39</f>
        <v>Treat</v>
      </c>
      <c r="F39" s="12" t="s">
        <v>605</v>
      </c>
      <c r="G39" s="12" t="str">
        <f aca="false">'Risk Register'!W39</f>
        <v>Marcus Lindqvist</v>
      </c>
      <c r="H39" s="12" t="str">
        <f aca="false">'Risk Register'!X39</f>
        <v>30 Jun 2027</v>
      </c>
      <c r="I39" s="12" t="str">
        <f aca="false">'Risk Register'!W39</f>
        <v>Marcus Lindqvist</v>
      </c>
      <c r="J39" s="12" t="str">
        <f aca="false">'Risk Register'!Y39</f>
        <v>Executive Risk Committee</v>
      </c>
      <c r="K39" s="21"/>
      <c r="L39" s="21"/>
    </row>
    <row r="40" customFormat="false" ht="22.35" hidden="false" customHeight="false" outlineLevel="0" collapsed="false">
      <c r="A40" s="7" t="s">
        <v>469</v>
      </c>
      <c r="B40" s="8" t="s">
        <v>470</v>
      </c>
      <c r="C40" s="20" t="str">
        <f aca="false">'Risk Register'!S40</f>
        <v>Moderate</v>
      </c>
      <c r="D40" s="20" t="str">
        <f aca="false">'Risk Register'!U40</f>
        <v>Within</v>
      </c>
      <c r="E40" s="20" t="str">
        <f aca="false">'Risk Register'!V40</f>
        <v>Tolerate</v>
      </c>
      <c r="F40" s="8" t="s">
        <v>606</v>
      </c>
      <c r="G40" s="8" t="str">
        <f aca="false">'Risk Register'!W40</f>
        <v>Sanjay Mehta</v>
      </c>
      <c r="H40" s="8" t="str">
        <f aca="false">'Risk Register'!X40</f>
        <v>n/a</v>
      </c>
      <c r="I40" s="8" t="str">
        <f aca="false">'Risk Register'!W40</f>
        <v>Sanjay Mehta</v>
      </c>
      <c r="J40" s="8" t="str">
        <f aca="false">'Risk Register'!Y40</f>
        <v>CISO</v>
      </c>
      <c r="K40" s="21"/>
      <c r="L40" s="21"/>
    </row>
    <row r="41" customFormat="false" ht="32.8" hidden="false" customHeight="false" outlineLevel="0" collapsed="false">
      <c r="A41" s="11" t="s">
        <v>477</v>
      </c>
      <c r="B41" s="12" t="s">
        <v>478</v>
      </c>
      <c r="C41" s="20" t="str">
        <f aca="false">'Risk Register'!S41</f>
        <v>High</v>
      </c>
      <c r="D41" s="20" t="str">
        <f aca="false">'Risk Register'!U41</f>
        <v>EXCEEDS</v>
      </c>
      <c r="E41" s="22" t="str">
        <f aca="false">'Risk Register'!V41</f>
        <v>Treat</v>
      </c>
      <c r="F41" s="12" t="s">
        <v>605</v>
      </c>
      <c r="G41" s="12" t="str">
        <f aca="false">'Risk Register'!W41</f>
        <v>Ruth Nakamura</v>
      </c>
      <c r="H41" s="12" t="str">
        <f aca="false">'Risk Register'!X41</f>
        <v>30 Jun 2027</v>
      </c>
      <c r="I41" s="12" t="str">
        <f aca="false">'Risk Register'!W41</f>
        <v>Ruth Nakamura</v>
      </c>
      <c r="J41" s="12" t="str">
        <f aca="false">'Risk Register'!Y41</f>
        <v>Executive Risk Committee</v>
      </c>
      <c r="K41" s="21"/>
      <c r="L41" s="21"/>
    </row>
    <row r="42" customFormat="false" ht="32.8" hidden="false" customHeight="false" outlineLevel="0" collapsed="false">
      <c r="A42" s="7" t="s">
        <v>483</v>
      </c>
      <c r="B42" s="8" t="s">
        <v>484</v>
      </c>
      <c r="C42" s="20" t="str">
        <f aca="false">'Risk Register'!S42</f>
        <v>High</v>
      </c>
      <c r="D42" s="20" t="str">
        <f aca="false">'Risk Register'!U42</f>
        <v>EXCEEDS</v>
      </c>
      <c r="E42" s="20" t="str">
        <f aca="false">'Risk Register'!V42</f>
        <v>Treat</v>
      </c>
      <c r="F42" s="8" t="s">
        <v>605</v>
      </c>
      <c r="G42" s="8" t="str">
        <f aca="false">'Risk Register'!W42</f>
        <v>Jonathan Reyes</v>
      </c>
      <c r="H42" s="8" t="str">
        <f aca="false">'Risk Register'!X42</f>
        <v>31 Mar 2027</v>
      </c>
      <c r="I42" s="8" t="str">
        <f aca="false">'Risk Register'!W42</f>
        <v>Jonathan Reyes</v>
      </c>
      <c r="J42" s="8" t="str">
        <f aca="false">'Risk Register'!Y42</f>
        <v>Executive Risk Committee</v>
      </c>
      <c r="K42" s="21"/>
      <c r="L42" s="21"/>
    </row>
    <row r="43" customFormat="false" ht="32.8" hidden="false" customHeight="false" outlineLevel="0" collapsed="false">
      <c r="A43" s="11" t="s">
        <v>490</v>
      </c>
      <c r="B43" s="12" t="s">
        <v>491</v>
      </c>
      <c r="C43" s="20" t="str">
        <f aca="false">'Risk Register'!S43</f>
        <v>Moderate</v>
      </c>
      <c r="D43" s="20" t="str">
        <f aca="false">'Risk Register'!U43</f>
        <v>Within</v>
      </c>
      <c r="E43" s="22" t="str">
        <f aca="false">'Risk Register'!V43</f>
        <v>Treat</v>
      </c>
      <c r="F43" s="12" t="s">
        <v>605</v>
      </c>
      <c r="G43" s="12" t="str">
        <f aca="false">'Risk Register'!W43</f>
        <v>Elena Petrova</v>
      </c>
      <c r="H43" s="12" t="str">
        <f aca="false">'Risk Register'!X43</f>
        <v>30 Jun 2027</v>
      </c>
      <c r="I43" s="12" t="str">
        <f aca="false">'Risk Register'!W43</f>
        <v>Elena Petrova</v>
      </c>
      <c r="J43" s="12" t="str">
        <f aca="false">'Risk Register'!Y43</f>
        <v>CISO</v>
      </c>
      <c r="K43" s="21"/>
      <c r="L43" s="21"/>
    </row>
    <row r="44" customFormat="false" ht="32.8" hidden="false" customHeight="false" outlineLevel="0" collapsed="false">
      <c r="A44" s="7" t="s">
        <v>496</v>
      </c>
      <c r="B44" s="8" t="s">
        <v>497</v>
      </c>
      <c r="C44" s="20" t="str">
        <f aca="false">'Risk Register'!S44</f>
        <v>High</v>
      </c>
      <c r="D44" s="20" t="str">
        <f aca="false">'Risk Register'!U44</f>
        <v>EXCEEDS</v>
      </c>
      <c r="E44" s="20" t="str">
        <f aca="false">'Risk Register'!V44</f>
        <v>Treat</v>
      </c>
      <c r="F44" s="8" t="s">
        <v>605</v>
      </c>
      <c r="G44" s="8" t="str">
        <f aca="false">'Risk Register'!W44</f>
        <v>Elena Petrova</v>
      </c>
      <c r="H44" s="8" t="str">
        <f aca="false">'Risk Register'!X44</f>
        <v>31 Mar 2027</v>
      </c>
      <c r="I44" s="8" t="str">
        <f aca="false">'Risk Register'!W44</f>
        <v>Elena Petrova</v>
      </c>
      <c r="J44" s="8" t="str">
        <f aca="false">'Risk Register'!Y44</f>
        <v>Executive Risk Committee</v>
      </c>
      <c r="K44" s="21"/>
      <c r="L44" s="21"/>
    </row>
    <row r="45" customFormat="false" ht="32.8" hidden="false" customHeight="false" outlineLevel="0" collapsed="false">
      <c r="A45" s="11" t="s">
        <v>503</v>
      </c>
      <c r="B45" s="12" t="s">
        <v>504</v>
      </c>
      <c r="C45" s="20" t="str">
        <f aca="false">'Risk Register'!S45</f>
        <v>Moderate</v>
      </c>
      <c r="D45" s="20" t="str">
        <f aca="false">'Risk Register'!U45</f>
        <v>Within</v>
      </c>
      <c r="E45" s="22" t="str">
        <f aca="false">'Risk Register'!V45</f>
        <v>Treat</v>
      </c>
      <c r="F45" s="12" t="s">
        <v>605</v>
      </c>
      <c r="G45" s="12" t="str">
        <f aca="false">'Risk Register'!W45</f>
        <v>Oliver Trent</v>
      </c>
      <c r="H45" s="12" t="str">
        <f aca="false">'Risk Register'!X45</f>
        <v>30 Jun 2027</v>
      </c>
      <c r="I45" s="12" t="str">
        <f aca="false">'Risk Register'!W45</f>
        <v>Oliver Trent</v>
      </c>
      <c r="J45" s="12" t="str">
        <f aca="false">'Risk Register'!Y45</f>
        <v>CISO</v>
      </c>
      <c r="K45" s="21"/>
      <c r="L45" s="21"/>
    </row>
    <row r="46" customFormat="false" ht="22.35" hidden="false" customHeight="false" outlineLevel="0" collapsed="false">
      <c r="A46" s="7" t="s">
        <v>510</v>
      </c>
      <c r="B46" s="8" t="s">
        <v>511</v>
      </c>
      <c r="C46" s="20" t="str">
        <f aca="false">'Risk Register'!S46</f>
        <v>Moderate</v>
      </c>
      <c r="D46" s="20" t="str">
        <f aca="false">'Risk Register'!U46</f>
        <v>Within</v>
      </c>
      <c r="E46" s="20" t="str">
        <f aca="false">'Risk Register'!V46</f>
        <v>Tolerate</v>
      </c>
      <c r="F46" s="8" t="s">
        <v>606</v>
      </c>
      <c r="G46" s="8" t="str">
        <f aca="false">'Risk Register'!W46</f>
        <v>Daniel Okonkwo</v>
      </c>
      <c r="H46" s="8" t="str">
        <f aca="false">'Risk Register'!X46</f>
        <v>n/a</v>
      </c>
      <c r="I46" s="8" t="str">
        <f aca="false">'Risk Register'!W46</f>
        <v>Daniel Okonkwo</v>
      </c>
      <c r="J46" s="8" t="str">
        <f aca="false">'Risk Register'!Y46</f>
        <v>CISO</v>
      </c>
      <c r="K46" s="21"/>
      <c r="L46" s="21"/>
    </row>
    <row r="47" customFormat="false" ht="32.8" hidden="false" customHeight="false" outlineLevel="0" collapsed="false">
      <c r="A47" s="11" t="s">
        <v>517</v>
      </c>
      <c r="B47" s="12" t="s">
        <v>518</v>
      </c>
      <c r="C47" s="20" t="str">
        <f aca="false">'Risk Register'!S47</f>
        <v>Moderate</v>
      </c>
      <c r="D47" s="20" t="str">
        <f aca="false">'Risk Register'!U47</f>
        <v>Within</v>
      </c>
      <c r="E47" s="22" t="str">
        <f aca="false">'Risk Register'!V47</f>
        <v>Treat</v>
      </c>
      <c r="F47" s="12" t="s">
        <v>605</v>
      </c>
      <c r="G47" s="12" t="str">
        <f aca="false">'Risk Register'!W47</f>
        <v>Oliver Trent</v>
      </c>
      <c r="H47" s="12" t="str">
        <f aca="false">'Risk Register'!X47</f>
        <v>30 Jun 2027</v>
      </c>
      <c r="I47" s="12" t="str">
        <f aca="false">'Risk Register'!W47</f>
        <v>Oliver Trent</v>
      </c>
      <c r="J47" s="12" t="str">
        <f aca="false">'Risk Register'!Y47</f>
        <v>CISO</v>
      </c>
      <c r="K47" s="21"/>
      <c r="L47" s="21"/>
    </row>
    <row r="48" customFormat="false" ht="32.8" hidden="false" customHeight="false" outlineLevel="0" collapsed="false">
      <c r="A48" s="7" t="s">
        <v>524</v>
      </c>
      <c r="B48" s="8" t="s">
        <v>525</v>
      </c>
      <c r="C48" s="20" t="str">
        <f aca="false">'Risk Register'!S48</f>
        <v>Moderate</v>
      </c>
      <c r="D48" s="20" t="str">
        <f aca="false">'Risk Register'!U48</f>
        <v>Within</v>
      </c>
      <c r="E48" s="20" t="str">
        <f aca="false">'Risk Register'!V48</f>
        <v>Treat</v>
      </c>
      <c r="F48" s="8" t="s">
        <v>605</v>
      </c>
      <c r="G48" s="8" t="str">
        <f aca="false">'Risk Register'!W48</f>
        <v>Sofia Kallio</v>
      </c>
      <c r="H48" s="8" t="str">
        <f aca="false">'Risk Register'!X48</f>
        <v>31 Mar 2027</v>
      </c>
      <c r="I48" s="8" t="str">
        <f aca="false">'Risk Register'!W48</f>
        <v>Sofia Kallio</v>
      </c>
      <c r="J48" s="8" t="str">
        <f aca="false">'Risk Register'!Y48</f>
        <v>CISO</v>
      </c>
      <c r="K48" s="21"/>
      <c r="L48" s="21"/>
    </row>
    <row r="49" customFormat="false" ht="32.8" hidden="false" customHeight="false" outlineLevel="0" collapsed="false">
      <c r="A49" s="11" t="s">
        <v>531</v>
      </c>
      <c r="B49" s="12" t="s">
        <v>532</v>
      </c>
      <c r="C49" s="20" t="str">
        <f aca="false">'Risk Register'!S49</f>
        <v>Moderate</v>
      </c>
      <c r="D49" s="20" t="str">
        <f aca="false">'Risk Register'!U49</f>
        <v>Within</v>
      </c>
      <c r="E49" s="22" t="str">
        <f aca="false">'Risk Register'!V49</f>
        <v>Treat</v>
      </c>
      <c r="F49" s="12" t="s">
        <v>605</v>
      </c>
      <c r="G49" s="12" t="str">
        <f aca="false">'Risk Register'!W49</f>
        <v>Sofia Kallio</v>
      </c>
      <c r="H49" s="12" t="str">
        <f aca="false">'Risk Register'!X49</f>
        <v>31 Jan 2027</v>
      </c>
      <c r="I49" s="12" t="str">
        <f aca="false">'Risk Register'!W49</f>
        <v>Sofia Kallio</v>
      </c>
      <c r="J49" s="12" t="str">
        <f aca="false">'Risk Register'!Y49</f>
        <v>CISO</v>
      </c>
      <c r="K49" s="21"/>
      <c r="L49" s="21"/>
    </row>
    <row r="50" customFormat="false" ht="32.8" hidden="false" customHeight="false" outlineLevel="0" collapsed="false">
      <c r="A50" s="7" t="s">
        <v>537</v>
      </c>
      <c r="B50" s="8" t="s">
        <v>538</v>
      </c>
      <c r="C50" s="20" t="str">
        <f aca="false">'Risk Register'!S50</f>
        <v>Moderate</v>
      </c>
      <c r="D50" s="20" t="str">
        <f aca="false">'Risk Register'!U50</f>
        <v>Within</v>
      </c>
      <c r="E50" s="20" t="str">
        <f aca="false">'Risk Register'!V50</f>
        <v>Treat</v>
      </c>
      <c r="F50" s="8" t="s">
        <v>605</v>
      </c>
      <c r="G50" s="8" t="str">
        <f aca="false">'Risk Register'!W50</f>
        <v>Claire Bennett</v>
      </c>
      <c r="H50" s="8" t="str">
        <f aca="false">'Risk Register'!X50</f>
        <v>30 Nov 2026</v>
      </c>
      <c r="I50" s="8" t="str">
        <f aca="false">'Risk Register'!W50</f>
        <v>Claire Bennett</v>
      </c>
      <c r="J50" s="8" t="str">
        <f aca="false">'Risk Register'!Y50</f>
        <v>CISO</v>
      </c>
      <c r="K50" s="21"/>
      <c r="L50" s="21"/>
    </row>
    <row r="51" customFormat="false" ht="32.8" hidden="false" customHeight="false" outlineLevel="0" collapsed="false">
      <c r="A51" s="11" t="s">
        <v>543</v>
      </c>
      <c r="B51" s="12" t="s">
        <v>544</v>
      </c>
      <c r="C51" s="20" t="str">
        <f aca="false">'Risk Register'!S51</f>
        <v>Moderate</v>
      </c>
      <c r="D51" s="20" t="str">
        <f aca="false">'Risk Register'!U51</f>
        <v>Within</v>
      </c>
      <c r="E51" s="22" t="str">
        <f aca="false">'Risk Register'!V51</f>
        <v>Treat</v>
      </c>
      <c r="F51" s="12" t="s">
        <v>605</v>
      </c>
      <c r="G51" s="12" t="str">
        <f aca="false">'Risk Register'!W51</f>
        <v>Sanjay Mehta</v>
      </c>
      <c r="H51" s="12" t="str">
        <f aca="false">'Risk Register'!X51</f>
        <v>31 Mar 2027</v>
      </c>
      <c r="I51" s="12" t="str">
        <f aca="false">'Risk Register'!W51</f>
        <v>Sanjay Mehta</v>
      </c>
      <c r="J51" s="12" t="str">
        <f aca="false">'Risk Register'!Y51</f>
        <v>CISO</v>
      </c>
      <c r="K51" s="21"/>
      <c r="L51" s="21"/>
    </row>
    <row r="52" customFormat="false" ht="32.8" hidden="false" customHeight="false" outlineLevel="0" collapsed="false">
      <c r="A52" s="7" t="s">
        <v>550</v>
      </c>
      <c r="B52" s="8" t="s">
        <v>551</v>
      </c>
      <c r="C52" s="20" t="str">
        <f aca="false">'Risk Register'!S52</f>
        <v>High</v>
      </c>
      <c r="D52" s="20" t="str">
        <f aca="false">'Risk Register'!U52</f>
        <v>EXCEEDS</v>
      </c>
      <c r="E52" s="20" t="str">
        <f aca="false">'Risk Register'!V52</f>
        <v>Treat</v>
      </c>
      <c r="F52" s="8" t="s">
        <v>605</v>
      </c>
      <c r="G52" s="8" t="str">
        <f aca="false">'Risk Register'!W52</f>
        <v>Daniel Okonkwo</v>
      </c>
      <c r="H52" s="8" t="str">
        <f aca="false">'Risk Register'!X52</f>
        <v>30 Jun 2027</v>
      </c>
      <c r="I52" s="8" t="str">
        <f aca="false">'Risk Register'!W52</f>
        <v>Daniel Okonkwo</v>
      </c>
      <c r="J52" s="8" t="str">
        <f aca="false">'Risk Register'!Y52</f>
        <v>Executive Risk Committee</v>
      </c>
      <c r="K52" s="21"/>
      <c r="L52" s="21"/>
    </row>
    <row r="53" customFormat="false" ht="22.35" hidden="false" customHeight="false" outlineLevel="0" collapsed="false">
      <c r="A53" s="11" t="s">
        <v>557</v>
      </c>
      <c r="B53" s="12" t="s">
        <v>558</v>
      </c>
      <c r="C53" s="20" t="str">
        <f aca="false">'Risk Register'!S53</f>
        <v>Moderate</v>
      </c>
      <c r="D53" s="20" t="str">
        <f aca="false">'Risk Register'!U53</f>
        <v>Within</v>
      </c>
      <c r="E53" s="22" t="str">
        <f aca="false">'Risk Register'!V53</f>
        <v>Tolerate</v>
      </c>
      <c r="F53" s="12" t="s">
        <v>606</v>
      </c>
      <c r="G53" s="12" t="str">
        <f aca="false">'Risk Register'!W53</f>
        <v>Jonathan Reyes</v>
      </c>
      <c r="H53" s="12" t="str">
        <f aca="false">'Risk Register'!X53</f>
        <v>n/a</v>
      </c>
      <c r="I53" s="12" t="str">
        <f aca="false">'Risk Register'!W53</f>
        <v>Jonathan Reyes</v>
      </c>
      <c r="J53" s="12" t="str">
        <f aca="false">'Risk Register'!Y53</f>
        <v>CISO</v>
      </c>
      <c r="K53" s="21"/>
      <c r="L53" s="21"/>
    </row>
    <row r="54" customFormat="false" ht="32.8" hidden="false" customHeight="false" outlineLevel="0" collapsed="false">
      <c r="A54" s="7" t="s">
        <v>563</v>
      </c>
      <c r="B54" s="8" t="s">
        <v>564</v>
      </c>
      <c r="C54" s="20" t="str">
        <f aca="false">'Risk Register'!S54</f>
        <v>High</v>
      </c>
      <c r="D54" s="20" t="str">
        <f aca="false">'Risk Register'!U54</f>
        <v>EXCEEDS</v>
      </c>
      <c r="E54" s="20" t="str">
        <f aca="false">'Risk Register'!V54</f>
        <v>Treat</v>
      </c>
      <c r="F54" s="8" t="s">
        <v>605</v>
      </c>
      <c r="G54" s="8" t="str">
        <f aca="false">'Risk Register'!W54</f>
        <v>Helen Achebe-Ward</v>
      </c>
      <c r="H54" s="8" t="str">
        <f aca="false">'Risk Register'!X54</f>
        <v>31 Jan 2027</v>
      </c>
      <c r="I54" s="8" t="str">
        <f aca="false">'Risk Register'!W54</f>
        <v>Helen Achebe-Ward</v>
      </c>
      <c r="J54" s="8" t="str">
        <f aca="false">'Risk Register'!Y54</f>
        <v>Executive Risk Committee</v>
      </c>
      <c r="K54" s="21"/>
      <c r="L54" s="21"/>
    </row>
    <row r="55" customFormat="false" ht="32.8" hidden="false" customHeight="false" outlineLevel="0" collapsed="false">
      <c r="A55" s="11" t="s">
        <v>569</v>
      </c>
      <c r="B55" s="12" t="s">
        <v>570</v>
      </c>
      <c r="C55" s="20" t="str">
        <f aca="false">'Risk Register'!S55</f>
        <v>Moderate</v>
      </c>
      <c r="D55" s="20" t="str">
        <f aca="false">'Risk Register'!U55</f>
        <v>Within</v>
      </c>
      <c r="E55" s="22" t="str">
        <f aca="false">'Risk Register'!V55</f>
        <v>Treat</v>
      </c>
      <c r="F55" s="12" t="s">
        <v>605</v>
      </c>
      <c r="G55" s="12" t="str">
        <f aca="false">'Risk Register'!W55</f>
        <v>Sanjay Mehta</v>
      </c>
      <c r="H55" s="12" t="str">
        <f aca="false">'Risk Register'!X55</f>
        <v>31 Mar 2027</v>
      </c>
      <c r="I55" s="12" t="str">
        <f aca="false">'Risk Register'!W55</f>
        <v>Sanjay Mehta</v>
      </c>
      <c r="J55" s="12" t="str">
        <f aca="false">'Risk Register'!Y55</f>
        <v>CISO</v>
      </c>
      <c r="K55" s="21"/>
      <c r="L55" s="21"/>
    </row>
    <row r="56" customFormat="false" ht="32.8" hidden="false" customHeight="false" outlineLevel="0" collapsed="false">
      <c r="A56" s="7" t="s">
        <v>575</v>
      </c>
      <c r="B56" s="8" t="s">
        <v>576</v>
      </c>
      <c r="C56" s="20" t="str">
        <f aca="false">'Risk Register'!S56</f>
        <v>High</v>
      </c>
      <c r="D56" s="20" t="str">
        <f aca="false">'Risk Register'!U56</f>
        <v>EXCEEDS</v>
      </c>
      <c r="E56" s="20" t="str">
        <f aca="false">'Risk Register'!V56</f>
        <v>Treat</v>
      </c>
      <c r="F56" s="8" t="s">
        <v>605</v>
      </c>
      <c r="G56" s="8" t="str">
        <f aca="false">'Risk Register'!W56</f>
        <v>Sanjay Mehta</v>
      </c>
      <c r="H56" s="8" t="str">
        <f aca="false">'Risk Register'!X56</f>
        <v>31 Mar 2027</v>
      </c>
      <c r="I56" s="8" t="str">
        <f aca="false">'Risk Register'!W56</f>
        <v>Sanjay Mehta</v>
      </c>
      <c r="J56" s="8" t="str">
        <f aca="false">'Risk Register'!Y56</f>
        <v>Executive Risk Committee</v>
      </c>
      <c r="K56" s="21"/>
      <c r="L56" s="21"/>
    </row>
    <row r="57" customFormat="false" ht="32.8" hidden="false" customHeight="false" outlineLevel="0" collapsed="false">
      <c r="A57" s="11" t="s">
        <v>582</v>
      </c>
      <c r="B57" s="12" t="s">
        <v>583</v>
      </c>
      <c r="C57" s="20" t="str">
        <f aca="false">'Risk Register'!S57</f>
        <v>High</v>
      </c>
      <c r="D57" s="20" t="str">
        <f aca="false">'Risk Register'!U57</f>
        <v>EXCEEDS</v>
      </c>
      <c r="E57" s="22" t="str">
        <f aca="false">'Risk Register'!V57</f>
        <v>Treat</v>
      </c>
      <c r="F57" s="12" t="s">
        <v>605</v>
      </c>
      <c r="G57" s="12" t="str">
        <f aca="false">'Risk Register'!W57</f>
        <v>Tomas Vidal</v>
      </c>
      <c r="H57" s="12" t="str">
        <f aca="false">'Risk Register'!X57</f>
        <v>31 Mar 2027</v>
      </c>
      <c r="I57" s="12" t="str">
        <f aca="false">'Risk Register'!W57</f>
        <v>Tomas Vidal</v>
      </c>
      <c r="J57" s="12" t="str">
        <f aca="false">'Risk Register'!Y57</f>
        <v>Executive Risk Committee</v>
      </c>
      <c r="K57" s="21"/>
      <c r="L57" s="21"/>
    </row>
    <row r="58" customFormat="false" ht="32.8" hidden="false" customHeight="false" outlineLevel="0" collapsed="false">
      <c r="A58" s="7" t="s">
        <v>590</v>
      </c>
      <c r="B58" s="8" t="s">
        <v>591</v>
      </c>
      <c r="C58" s="20" t="str">
        <f aca="false">'Risk Register'!S58</f>
        <v>Moderate</v>
      </c>
      <c r="D58" s="20" t="str">
        <f aca="false">'Risk Register'!U58</f>
        <v>Within</v>
      </c>
      <c r="E58" s="20" t="str">
        <f aca="false">'Risk Register'!V58</f>
        <v>Treat</v>
      </c>
      <c r="F58" s="8" t="s">
        <v>605</v>
      </c>
      <c r="G58" s="8" t="str">
        <f aca="false">'Risk Register'!W58</f>
        <v>Chidi Eze</v>
      </c>
      <c r="H58" s="8" t="str">
        <f aca="false">'Risk Register'!X58</f>
        <v>31 Dec 2026</v>
      </c>
      <c r="I58" s="8" t="str">
        <f aca="false">'Risk Register'!W58</f>
        <v>Chidi Eze</v>
      </c>
      <c r="J58" s="8" t="str">
        <f aca="false">'Risk Register'!Y58</f>
        <v>CISO</v>
      </c>
      <c r="K58" s="21"/>
      <c r="L58" s="21"/>
    </row>
    <row r="60" customFormat="false" ht="15" hidden="false" customHeight="true" outlineLevel="0" collapsed="false">
      <c r="A60" s="23" t="s">
        <v>607</v>
      </c>
      <c r="B60" s="23"/>
      <c r="C60" s="23"/>
      <c r="D60" s="23"/>
      <c r="E60" s="23"/>
      <c r="F60" s="23"/>
      <c r="G60" s="23"/>
      <c r="H60" s="23"/>
      <c r="I60" s="23"/>
      <c r="J60" s="23"/>
      <c r="K60" s="23"/>
      <c r="L60" s="23"/>
    </row>
    <row r="61" customFormat="false" ht="15" hidden="false" customHeight="false" outlineLevel="0" collapsed="false">
      <c r="A61" s="23"/>
      <c r="B61" s="23"/>
      <c r="C61" s="23"/>
      <c r="D61" s="23"/>
      <c r="E61" s="23"/>
      <c r="F61" s="23"/>
      <c r="G61" s="23"/>
      <c r="H61" s="23"/>
      <c r="I61" s="23"/>
      <c r="J61" s="23"/>
      <c r="K61" s="23"/>
      <c r="L61" s="23"/>
    </row>
    <row r="62" customFormat="false" ht="15" hidden="false" customHeight="false" outlineLevel="0" collapsed="false">
      <c r="A62" s="23"/>
      <c r="B62" s="23"/>
      <c r="C62" s="23"/>
      <c r="D62" s="23"/>
      <c r="E62" s="23"/>
      <c r="F62" s="23"/>
      <c r="G62" s="23"/>
      <c r="H62" s="23"/>
      <c r="I62" s="23"/>
      <c r="J62" s="23"/>
      <c r="K62" s="23"/>
      <c r="L62" s="23"/>
    </row>
    <row r="63" customFormat="false" ht="15" hidden="false" customHeight="false" outlineLevel="0" collapsed="false">
      <c r="A63" s="23"/>
      <c r="B63" s="23"/>
      <c r="C63" s="23"/>
      <c r="D63" s="23"/>
      <c r="E63" s="23"/>
      <c r="F63" s="23"/>
      <c r="G63" s="23"/>
      <c r="H63" s="23"/>
      <c r="I63" s="23"/>
      <c r="J63" s="23"/>
      <c r="K63" s="23"/>
      <c r="L63" s="23"/>
    </row>
  </sheetData>
  <autoFilter ref="A3:L58"/>
  <mergeCells count="3">
    <mergeCell ref="A1:L1"/>
    <mergeCell ref="A2:L2"/>
    <mergeCell ref="A60:L63"/>
  </mergeCells>
  <conditionalFormatting sqref="C4:C58">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"Moderate"</formula>
    </cfRule>
    <cfRule type="cellIs" priority="5" operator="equal" aboveAverage="0" equalAverage="0" bottom="0" percent="0" rank="0" text="" dxfId="11">
      <formula>"Low"</formula>
    </cfRule>
  </conditionalFormatting>
  <conditionalFormatting sqref="D4:D58">
    <cfRule type="cellIs" priority="6" operator="equal" aboveAverage="0" equalAverage="0" bottom="0" percent="0" rank="0" text="" dxfId="12">
      <formula>"EXCEEDS"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8"/>
    <col collapsed="false" customWidth="true" hidden="false" outlineLevel="0" max="6" min="4" style="0" width="14"/>
    <col collapsed="false" customWidth="true" hidden="false" outlineLevel="0" max="7" min="7" style="0" width="12"/>
  </cols>
  <sheetData>
    <row r="1" customFormat="false" ht="21.75" hidden="false" customHeight="true" outlineLevel="0" collapsed="false">
      <c r="A1" s="1" t="s">
        <v>608</v>
      </c>
      <c r="B1" s="1"/>
      <c r="C1" s="1"/>
      <c r="D1" s="1"/>
      <c r="E1" s="1"/>
      <c r="F1" s="1"/>
      <c r="G1" s="1"/>
      <c r="H1" s="1"/>
    </row>
    <row r="2" customFormat="false" ht="15" hidden="false" customHeight="false" outlineLevel="0" collapsed="false">
      <c r="A2" s="2" t="s">
        <v>609</v>
      </c>
      <c r="B2" s="2"/>
      <c r="C2" s="2"/>
      <c r="D2" s="2"/>
      <c r="E2" s="2"/>
      <c r="F2" s="2"/>
      <c r="G2" s="2"/>
      <c r="H2" s="2"/>
    </row>
    <row r="4" customFormat="false" ht="15" hidden="false" customHeight="false" outlineLevel="0" collapsed="false">
      <c r="A4" s="24" t="s">
        <v>610</v>
      </c>
      <c r="B4" s="24"/>
      <c r="C4" s="24"/>
      <c r="D4" s="24"/>
    </row>
    <row r="5" customFormat="false" ht="19.5" hidden="false" customHeight="true" outlineLevel="0" collapsed="false">
      <c r="A5" s="6" t="s">
        <v>24</v>
      </c>
      <c r="B5" s="6" t="s">
        <v>611</v>
      </c>
      <c r="C5" s="6" t="s">
        <v>612</v>
      </c>
      <c r="D5" s="6" t="s">
        <v>613</v>
      </c>
    </row>
    <row r="6" customFormat="false" ht="15" hidden="false" customHeight="false" outlineLevel="0" collapsed="false">
      <c r="A6" s="25" t="s">
        <v>614</v>
      </c>
      <c r="B6" s="26" t="n">
        <f aca="false">COUNTIF('Risk Register'!$M$4:$M$58,A6)</f>
        <v>13</v>
      </c>
      <c r="C6" s="26" t="n">
        <f aca="false">COUNTIF('Risk Register'!$S$4:$S$58,A6)</f>
        <v>1</v>
      </c>
      <c r="D6" s="26" t="n">
        <f aca="false">C6-B6</f>
        <v>-12</v>
      </c>
    </row>
    <row r="7" customFormat="false" ht="15" hidden="false" customHeight="false" outlineLevel="0" collapsed="false">
      <c r="A7" s="27" t="s">
        <v>45</v>
      </c>
      <c r="B7" s="26" t="n">
        <f aca="false">COUNTIF('Risk Register'!$M$4:$M$58,A7)</f>
        <v>35</v>
      </c>
      <c r="C7" s="26" t="n">
        <f aca="false">COUNTIF('Risk Register'!$S$4:$S$58,A7)</f>
        <v>22</v>
      </c>
      <c r="D7" s="26" t="n">
        <f aca="false">C7-B7</f>
        <v>-13</v>
      </c>
    </row>
    <row r="8" customFormat="false" ht="15" hidden="false" customHeight="false" outlineLevel="0" collapsed="false">
      <c r="A8" s="28" t="s">
        <v>55</v>
      </c>
      <c r="B8" s="26" t="n">
        <f aca="false">COUNTIF('Risk Register'!$M$4:$M$58,A8)</f>
        <v>7</v>
      </c>
      <c r="C8" s="26" t="n">
        <f aca="false">COUNTIF('Risk Register'!$S$4:$S$58,A8)</f>
        <v>31</v>
      </c>
      <c r="D8" s="26" t="n">
        <f aca="false">C8-B8</f>
        <v>24</v>
      </c>
    </row>
    <row r="9" customFormat="false" ht="15" hidden="false" customHeight="false" outlineLevel="0" collapsed="false">
      <c r="A9" s="29" t="s">
        <v>78</v>
      </c>
      <c r="B9" s="26" t="n">
        <f aca="false">COUNTIF('Risk Register'!$M$4:$M$58,A9)</f>
        <v>0</v>
      </c>
      <c r="C9" s="26" t="n">
        <f aca="false">COUNTIF('Risk Register'!$S$4:$S$58,A9)</f>
        <v>1</v>
      </c>
      <c r="D9" s="26" t="n">
        <f aca="false">C9-B9</f>
        <v>1</v>
      </c>
    </row>
    <row r="10" customFormat="false" ht="15" hidden="false" customHeight="false" outlineLevel="0" collapsed="false">
      <c r="A10" s="30" t="s">
        <v>615</v>
      </c>
      <c r="B10" s="31" t="n">
        <f aca="false">COUNTA('Risk Register'!$A$4:$A$58)</f>
        <v>55</v>
      </c>
    </row>
    <row r="12" customFormat="false" ht="15" hidden="false" customHeight="false" outlineLevel="0" collapsed="false">
      <c r="A12" s="24" t="s">
        <v>616</v>
      </c>
      <c r="B12" s="24"/>
      <c r="C12" s="24"/>
      <c r="D12" s="24"/>
    </row>
    <row r="13" customFormat="false" ht="15" hidden="false" customHeight="false" outlineLevel="0" collapsed="false">
      <c r="A13" s="32" t="s">
        <v>617</v>
      </c>
      <c r="B13" s="31" t="n">
        <f aca="false">COUNTIF('Risk Register'!$U$4:$U$58,"EXCEEDS")</f>
        <v>23</v>
      </c>
    </row>
    <row r="14" customFormat="false" ht="15" hidden="false" customHeight="false" outlineLevel="0" collapsed="false">
      <c r="A14" s="32" t="s">
        <v>618</v>
      </c>
      <c r="B14" s="31" t="n">
        <f aca="false">COUNTIF('Risk Register'!$U$4:$U$58,"Within")</f>
        <v>32</v>
      </c>
    </row>
    <row r="15" customFormat="false" ht="15" hidden="false" customHeight="false" outlineLevel="0" collapsed="false">
      <c r="A15" s="32" t="s">
        <v>619</v>
      </c>
      <c r="B15" s="31" t="n">
        <f aca="false">COUNTIF('Risk Register'!$Y$4:$Y$58,"Board Audit Committee")</f>
        <v>1</v>
      </c>
    </row>
    <row r="16" customFormat="false" ht="15" hidden="false" customHeight="false" outlineLevel="0" collapsed="false">
      <c r="A16" s="32" t="s">
        <v>620</v>
      </c>
      <c r="B16" s="31" t="n">
        <f aca="false">COUNTIF('Risk Register'!$Y$4:$Y$58,"Executive Risk Committee")</f>
        <v>22</v>
      </c>
    </row>
    <row r="17" customFormat="false" ht="15" hidden="false" customHeight="false" outlineLevel="0" collapsed="false">
      <c r="A17" s="32" t="s">
        <v>621</v>
      </c>
      <c r="B17" s="31" t="n">
        <f aca="false">COUNTIF('Risk Register'!$V$4:$V$58,"Treat")</f>
        <v>43</v>
      </c>
    </row>
    <row r="18" customFormat="false" ht="15" hidden="false" customHeight="false" outlineLevel="0" collapsed="false">
      <c r="A18" s="32" t="s">
        <v>622</v>
      </c>
      <c r="B18" s="31" t="n">
        <f aca="false">COUNTIF('Risk Register'!$V$4:$V$58,"Tolerate")</f>
        <v>12</v>
      </c>
    </row>
    <row r="19" customFormat="false" ht="15" hidden="false" customHeight="false" outlineLevel="0" collapsed="false">
      <c r="A19" s="32" t="s">
        <v>623</v>
      </c>
      <c r="B19" s="31" t="n">
        <f aca="false">COUNTA('Risk Register'!$A$4:$A$58)-COUNTA('Risk Treatment Plan'!$K$4:$K$58)</f>
        <v>55</v>
      </c>
    </row>
    <row r="21" customFormat="false" ht="15" hidden="false" customHeight="false" outlineLevel="0" collapsed="false">
      <c r="A21" s="24" t="s">
        <v>624</v>
      </c>
      <c r="B21" s="24"/>
      <c r="C21" s="24"/>
      <c r="D21" s="24"/>
    </row>
    <row r="22" customFormat="false" ht="19.5" hidden="false" customHeight="true" outlineLevel="0" collapsed="false">
      <c r="A22" s="6" t="s">
        <v>148</v>
      </c>
      <c r="B22" s="6" t="s">
        <v>625</v>
      </c>
      <c r="C22" s="6" t="s">
        <v>626</v>
      </c>
    </row>
    <row r="23" customFormat="false" ht="15" hidden="false" customHeight="false" outlineLevel="0" collapsed="false">
      <c r="A23" s="33" t="s">
        <v>627</v>
      </c>
      <c r="B23" s="34" t="n">
        <f aca="false">COUNTIF('Risk Register'!$D$4:$D$58,"TA-01")</f>
        <v>2</v>
      </c>
      <c r="C23" s="34" t="n">
        <f aca="false">COUNTIFS('Risk Register'!$D$4:$D$58,"TA-01",'Risk Register'!$U$4:$U$58,"EXCEEDS")</f>
        <v>1</v>
      </c>
    </row>
    <row r="24" customFormat="false" ht="15" hidden="false" customHeight="false" outlineLevel="0" collapsed="false">
      <c r="A24" s="33" t="s">
        <v>628</v>
      </c>
      <c r="B24" s="34" t="n">
        <f aca="false">COUNTIF('Risk Register'!$D$4:$D$58,"TA-02")</f>
        <v>3</v>
      </c>
      <c r="C24" s="34" t="n">
        <f aca="false">COUNTIFS('Risk Register'!$D$4:$D$58,"TA-02",'Risk Register'!$U$4:$U$58,"EXCEEDS")</f>
        <v>0</v>
      </c>
    </row>
    <row r="25" customFormat="false" ht="15" hidden="false" customHeight="false" outlineLevel="0" collapsed="false">
      <c r="A25" s="33" t="s">
        <v>629</v>
      </c>
      <c r="B25" s="34" t="n">
        <f aca="false">COUNTIF('Risk Register'!$D$4:$D$58,"TA-03")</f>
        <v>1</v>
      </c>
      <c r="C25" s="34" t="n">
        <f aca="false">COUNTIFS('Risk Register'!$D$4:$D$58,"TA-03",'Risk Register'!$U$4:$U$58,"EXCEEDS")</f>
        <v>1</v>
      </c>
    </row>
    <row r="26" customFormat="false" ht="15" hidden="false" customHeight="false" outlineLevel="0" collapsed="false">
      <c r="A26" s="33" t="s">
        <v>630</v>
      </c>
      <c r="B26" s="34" t="n">
        <f aca="false">COUNTIF('Risk Register'!$D$4:$D$58,"TA-04")</f>
        <v>2</v>
      </c>
      <c r="C26" s="34" t="n">
        <f aca="false">COUNTIFS('Risk Register'!$D$4:$D$58,"TA-04",'Risk Register'!$U$4:$U$58,"EXCEEDS")</f>
        <v>0</v>
      </c>
    </row>
    <row r="27" customFormat="false" ht="15" hidden="false" customHeight="false" outlineLevel="0" collapsed="false">
      <c r="A27" s="33" t="s">
        <v>631</v>
      </c>
      <c r="B27" s="34" t="n">
        <f aca="false">COUNTIF('Risk Register'!$D$4:$D$58,"TA-05")</f>
        <v>5</v>
      </c>
      <c r="C27" s="34" t="n">
        <f aca="false">COUNTIFS('Risk Register'!$D$4:$D$58,"TA-05",'Risk Register'!$U$4:$U$58,"EXCEEDS")</f>
        <v>2</v>
      </c>
    </row>
    <row r="28" customFormat="false" ht="15" hidden="false" customHeight="false" outlineLevel="0" collapsed="false">
      <c r="A28" s="33" t="s">
        <v>632</v>
      </c>
      <c r="B28" s="34" t="n">
        <f aca="false">COUNTIF('Risk Register'!$D$4:$D$58,"TA-06")</f>
        <v>6</v>
      </c>
      <c r="C28" s="34" t="n">
        <f aca="false">COUNTIFS('Risk Register'!$D$4:$D$58,"TA-06",'Risk Register'!$U$4:$U$58,"EXCEEDS")</f>
        <v>3</v>
      </c>
    </row>
    <row r="29" customFormat="false" ht="15" hidden="false" customHeight="false" outlineLevel="0" collapsed="false">
      <c r="A29" s="33" t="s">
        <v>633</v>
      </c>
      <c r="B29" s="34" t="n">
        <f aca="false">COUNTIF('Risk Register'!$D$4:$D$58,"TA-07")</f>
        <v>1</v>
      </c>
      <c r="C29" s="34" t="n">
        <f aca="false">COUNTIFS('Risk Register'!$D$4:$D$58,"TA-07",'Risk Register'!$U$4:$U$58,"EXCEEDS")</f>
        <v>0</v>
      </c>
    </row>
    <row r="30" customFormat="false" ht="15" hidden="false" customHeight="false" outlineLevel="0" collapsed="false">
      <c r="A30" s="33" t="s">
        <v>634</v>
      </c>
      <c r="B30" s="34" t="n">
        <f aca="false">COUNTIF('Risk Register'!$D$4:$D$58,"TA-08")</f>
        <v>4</v>
      </c>
      <c r="C30" s="34" t="n">
        <f aca="false">COUNTIFS('Risk Register'!$D$4:$D$58,"TA-08",'Risk Register'!$U$4:$U$58,"EXCEEDS")</f>
        <v>1</v>
      </c>
    </row>
    <row r="31" customFormat="false" ht="15" hidden="false" customHeight="false" outlineLevel="0" collapsed="false">
      <c r="A31" s="33" t="s">
        <v>635</v>
      </c>
      <c r="B31" s="34" t="n">
        <f aca="false">COUNTIF('Risk Register'!$D$4:$D$58,"TA-09")</f>
        <v>2</v>
      </c>
      <c r="C31" s="34" t="n">
        <f aca="false">COUNTIFS('Risk Register'!$D$4:$D$58,"TA-09",'Risk Register'!$U$4:$U$58,"EXCEEDS")</f>
        <v>2</v>
      </c>
    </row>
    <row r="32" customFormat="false" ht="15" hidden="false" customHeight="false" outlineLevel="0" collapsed="false">
      <c r="A32" s="33" t="s">
        <v>636</v>
      </c>
      <c r="B32" s="34" t="n">
        <f aca="false">COUNTIF('Risk Register'!$D$4:$D$58,"TA-10")</f>
        <v>29</v>
      </c>
      <c r="C32" s="34" t="n">
        <f aca="false">COUNTIFS('Risk Register'!$D$4:$D$58,"TA-10",'Risk Register'!$U$4:$U$58,"EXCEEDS")</f>
        <v>13</v>
      </c>
    </row>
    <row r="35" customFormat="false" ht="15" hidden="false" customHeight="false" outlineLevel="0" collapsed="false">
      <c r="A35" s="24" t="s">
        <v>637</v>
      </c>
      <c r="B35" s="24"/>
      <c r="C35" s="24"/>
      <c r="D35" s="24"/>
      <c r="E35" s="24"/>
      <c r="F35" s="24"/>
      <c r="G35" s="24"/>
    </row>
    <row r="36" customFormat="false" ht="15" hidden="false" customHeight="false" outlineLevel="0" collapsed="false">
      <c r="A36" s="35" t="s">
        <v>638</v>
      </c>
      <c r="B36" s="36" t="s">
        <v>639</v>
      </c>
      <c r="C36" s="36" t="s">
        <v>640</v>
      </c>
      <c r="D36" s="36" t="s">
        <v>641</v>
      </c>
      <c r="E36" s="36" t="s">
        <v>642</v>
      </c>
      <c r="F36" s="36" t="s">
        <v>643</v>
      </c>
    </row>
    <row r="37" customFormat="false" ht="25.5" hidden="false" customHeight="true" outlineLevel="0" collapsed="false">
      <c r="A37" s="37" t="s">
        <v>644</v>
      </c>
      <c r="B37" s="38" t="n">
        <f aca="false">COUNTIFS('Risk Register'!$P$4:$P$58,5,'Risk Register'!$Q$4:$Q$58,1)</f>
        <v>2</v>
      </c>
      <c r="C37" s="39" t="n">
        <f aca="false">COUNTIFS('Risk Register'!$P$4:$P$58,5,'Risk Register'!$Q$4:$Q$58,2)</f>
        <v>6</v>
      </c>
      <c r="D37" s="39" t="n">
        <f aca="false">COUNTIFS('Risk Register'!$P$4:$P$58,5,'Risk Register'!$Q$4:$Q$58,3)</f>
        <v>2</v>
      </c>
      <c r="E37" s="40" t="n">
        <f aca="false">COUNTIFS('Risk Register'!$P$4:$P$58,5,'Risk Register'!$Q$4:$Q$58,4)</f>
        <v>0</v>
      </c>
      <c r="F37" s="40" t="n">
        <f aca="false">COUNTIFS('Risk Register'!$P$4:$P$58,5,'Risk Register'!$Q$4:$Q$58,5)</f>
        <v>0</v>
      </c>
    </row>
    <row r="38" customFormat="false" ht="25.5" hidden="false" customHeight="true" outlineLevel="0" collapsed="false">
      <c r="A38" s="37" t="s">
        <v>645</v>
      </c>
      <c r="B38" s="41" t="n">
        <f aca="false">COUNTIFS('Risk Register'!$P$4:$P$58,4,'Risk Register'!$Q$4:$Q$58,1)</f>
        <v>1</v>
      </c>
      <c r="C38" s="38" t="n">
        <f aca="false">COUNTIFS('Risk Register'!$P$4:$P$58,4,'Risk Register'!$Q$4:$Q$58,2)</f>
        <v>5</v>
      </c>
      <c r="D38" s="39" t="n">
        <f aca="false">COUNTIFS('Risk Register'!$P$4:$P$58,4,'Risk Register'!$Q$4:$Q$58,3)</f>
        <v>12</v>
      </c>
      <c r="E38" s="40" t="n">
        <f aca="false">COUNTIFS('Risk Register'!$P$4:$P$58,4,'Risk Register'!$Q$4:$Q$58,4)</f>
        <v>0</v>
      </c>
      <c r="F38" s="40" t="n">
        <f aca="false">COUNTIFS('Risk Register'!$P$4:$P$58,4,'Risk Register'!$Q$4:$Q$58,5)</f>
        <v>1</v>
      </c>
    </row>
    <row r="39" customFormat="false" ht="25.5" hidden="false" customHeight="true" outlineLevel="0" collapsed="false">
      <c r="A39" s="37" t="s">
        <v>646</v>
      </c>
      <c r="B39" s="41" t="n">
        <f aca="false">COUNTIFS('Risk Register'!$P$4:$P$58,3,'Risk Register'!$Q$4:$Q$58,1)</f>
        <v>0</v>
      </c>
      <c r="C39" s="38" t="n">
        <f aca="false">COUNTIFS('Risk Register'!$P$4:$P$58,3,'Risk Register'!$Q$4:$Q$58,2)</f>
        <v>6</v>
      </c>
      <c r="D39" s="38" t="n">
        <f aca="false">COUNTIFS('Risk Register'!$P$4:$P$58,3,'Risk Register'!$Q$4:$Q$58,3)</f>
        <v>17</v>
      </c>
      <c r="E39" s="39" t="n">
        <f aca="false">COUNTIFS('Risk Register'!$P$4:$P$58,3,'Risk Register'!$Q$4:$Q$58,4)</f>
        <v>2</v>
      </c>
      <c r="F39" s="39" t="n">
        <f aca="false">COUNTIFS('Risk Register'!$P$4:$P$58,3,'Risk Register'!$Q$4:$Q$58,5)</f>
        <v>0</v>
      </c>
    </row>
    <row r="40" customFormat="false" ht="25.5" hidden="false" customHeight="true" outlineLevel="0" collapsed="false">
      <c r="A40" s="37" t="s">
        <v>647</v>
      </c>
      <c r="B40" s="41" t="n">
        <f aca="false">COUNTIFS('Risk Register'!$P$4:$P$58,2,'Risk Register'!$Q$4:$Q$58,1)</f>
        <v>0</v>
      </c>
      <c r="C40" s="41" t="n">
        <f aca="false">COUNTIFS('Risk Register'!$P$4:$P$58,2,'Risk Register'!$Q$4:$Q$58,2)</f>
        <v>0</v>
      </c>
      <c r="D40" s="38" t="n">
        <f aca="false">COUNTIFS('Risk Register'!$P$4:$P$58,2,'Risk Register'!$Q$4:$Q$58,3)</f>
        <v>1</v>
      </c>
      <c r="E40" s="38" t="n">
        <f aca="false">COUNTIFS('Risk Register'!$P$4:$P$58,2,'Risk Register'!$Q$4:$Q$58,4)</f>
        <v>0</v>
      </c>
      <c r="F40" s="39" t="n">
        <f aca="false">COUNTIFS('Risk Register'!$P$4:$P$58,2,'Risk Register'!$Q$4:$Q$58,5)</f>
        <v>0</v>
      </c>
    </row>
    <row r="41" customFormat="false" ht="25.5" hidden="false" customHeight="true" outlineLevel="0" collapsed="false">
      <c r="A41" s="37" t="s">
        <v>648</v>
      </c>
      <c r="B41" s="41" t="n">
        <f aca="false">COUNTIFS('Risk Register'!$P$4:$P$58,1,'Risk Register'!$Q$4:$Q$58,1)</f>
        <v>0</v>
      </c>
      <c r="C41" s="41" t="n">
        <f aca="false">COUNTIFS('Risk Register'!$P$4:$P$58,1,'Risk Register'!$Q$4:$Q$58,2)</f>
        <v>0</v>
      </c>
      <c r="D41" s="41" t="n">
        <f aca="false">COUNTIFS('Risk Register'!$P$4:$P$58,1,'Risk Register'!$Q$4:$Q$58,3)</f>
        <v>0</v>
      </c>
      <c r="E41" s="41" t="n">
        <f aca="false">COUNTIFS('Risk Register'!$P$4:$P$58,1,'Risk Register'!$Q$4:$Q$58,4)</f>
        <v>0</v>
      </c>
      <c r="F41" s="38" t="n">
        <f aca="false">COUNTIFS('Risk Register'!$P$4:$P$58,1,'Risk Register'!$Q$4:$Q$58,5)</f>
        <v>0</v>
      </c>
    </row>
    <row r="44" customFormat="false" ht="15" hidden="false" customHeight="true" outlineLevel="0" collapsed="false">
      <c r="A44" s="23" t="s">
        <v>649</v>
      </c>
      <c r="B44" s="23"/>
      <c r="C44" s="23"/>
      <c r="D44" s="23"/>
      <c r="E44" s="23"/>
      <c r="F44" s="23"/>
      <c r="G44" s="23"/>
    </row>
    <row r="45" customFormat="false" ht="15" hidden="false" customHeight="false" outlineLevel="0" collapsed="false">
      <c r="A45" s="23"/>
      <c r="B45" s="23"/>
      <c r="C45" s="23"/>
      <c r="D45" s="23"/>
      <c r="E45" s="23"/>
      <c r="F45" s="23"/>
      <c r="G45" s="23"/>
    </row>
    <row r="46" customFormat="false" ht="15" hidden="false" customHeight="false" outlineLevel="0" collapsed="false">
      <c r="A46" s="23"/>
      <c r="B46" s="23"/>
      <c r="C46" s="23"/>
      <c r="D46" s="23"/>
      <c r="E46" s="23"/>
      <c r="F46" s="23"/>
      <c r="G46" s="23"/>
    </row>
    <row r="47" customFormat="false" ht="15" hidden="false" customHeight="false" outlineLevel="0" collapsed="false">
      <c r="A47" s="23"/>
      <c r="B47" s="23"/>
      <c r="C47" s="23"/>
      <c r="D47" s="23"/>
      <c r="E47" s="23"/>
      <c r="F47" s="23"/>
      <c r="G47" s="23"/>
    </row>
    <row r="48" customFormat="false" ht="15" hidden="false" customHeight="false" outlineLevel="0" collapsed="false">
      <c r="A48" s="23"/>
      <c r="B48" s="23"/>
      <c r="C48" s="23"/>
      <c r="D48" s="23"/>
      <c r="E48" s="23"/>
      <c r="F48" s="23"/>
      <c r="G48" s="23"/>
    </row>
    <row r="49" customFormat="false" ht="15" hidden="false" customHeight="false" outlineLevel="0" collapsed="false">
      <c r="A49" s="23"/>
      <c r="B49" s="23"/>
      <c r="C49" s="23"/>
      <c r="D49" s="23"/>
      <c r="E49" s="23"/>
      <c r="F49" s="23"/>
      <c r="G49" s="23"/>
    </row>
  </sheetData>
  <mergeCells count="7">
    <mergeCell ref="A1:H1"/>
    <mergeCell ref="A2:H2"/>
    <mergeCell ref="A4:D4"/>
    <mergeCell ref="A12:D12"/>
    <mergeCell ref="A21:D21"/>
    <mergeCell ref="A35:G35"/>
    <mergeCell ref="A44:G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2026-09-10T00:55:56Z</dcterms:created>
  <dc:creator>openpyxl</dc:creator>
  <dc:description/>
  <dc:language>en-US</dc:language>
  <cp:lastModifiedBy/>
  <dcterms:modified xsi:type="dcterms:W3CDTF">2026-09-10T00:55:56Z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