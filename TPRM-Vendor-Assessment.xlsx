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Method" sheetId="1" state="visible" r:id="rId3"/>
    <sheet name="Vendor Profiles" sheetId="2" state="visible" r:id="rId4"/>
    <sheet name="Questionnaire &amp; Scores" sheetId="3" state="visible" r:id="rId5"/>
    <sheet name="Results &amp; Ratings" sheetId="4" state="visible" r:id="rId6"/>
    <sheet name="Findings &amp; Remediation" sheetId="5" state="visible" r:id="rId7"/>
    <sheet name="Evidence Log" sheetId="6" state="visible" r:id="rId8"/>
    <sheet name="Portfolio Concentration" sheetId="7" state="visible" r:id="rId9"/>
    <sheet name="Jurisdiction" sheetId="8" state="visible" r:id="rId10"/>
    <sheet name="Sanctions Flow-down" sheetId="9" state="visible" r:id="rId11"/>
  </sheets>
  <definedNames>
    <definedName function="false" hidden="true" localSheetId="5" name="_xlnm._FilterDatabase" vbProcedure="false">'Evidence Log'!$A$3:$G$21</definedName>
    <definedName function="false" hidden="true" localSheetId="4" name="_xlnm._FilterDatabase" vbProcedure="false">'Findings &amp; Remediation'!$A$3:$H$21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<sst xmlns="http://schemas.openxmlformats.org/spreadsheetml/2006/main" count="991" uniqueCount="779">
  <si>
    <t xml:space="preserve">Third-Party Risk Assessment</t>
  </si>
  <si>
    <t xml:space="preserve">Aldridge Financial Technologies  |  AFT-TPRM-ASM-01  |  Version 2.1  |  9 September 2026  |  Classification: Confidential</t>
  </si>
  <si>
    <t xml:space="preserve">ENGAGEMENT</t>
  </si>
  <si>
    <t xml:space="preserve">Purpose</t>
  </si>
  <si>
    <t xml:space="preserve">Assessment of three suppliers against the Aldridge third-party security questionnaire, producing a scored risk rating and a remediation position for each. Conducted under AFT-ISMS-POL-09.</t>
  </si>
  <si>
    <t xml:space="preserve">Suppliers assessed</t>
  </si>
  <si>
    <t xml:space="preserve">V-01 Northgate Analytics Ltd · V-02 Verrio Cloud Services, Inc. · V-03 Meridian BPO Solutions</t>
  </si>
  <si>
    <t xml:space="preserve">Trigger</t>
  </si>
  <si>
    <t xml:space="preserve">Scheduled reassessment. V-01 and V-03 were overdue against the annual obligation in POL-09, forming part of the backlog recorded at W-08.</t>
  </si>
  <si>
    <t xml:space="preserve">Assessment date</t>
  </si>
  <si>
    <t xml:space="preserve">September 2026</t>
  </si>
  <si>
    <t xml:space="preserve">Assessed by</t>
  </si>
  <si>
    <t xml:space="preserve">Procurement (Elena Petrova) with Security Governance (Chidi Eze)</t>
  </si>
  <si>
    <t xml:space="preserve">Basis</t>
  </si>
  <si>
    <t xml:space="preserve">Questionnaire response, evidence review, and follow-up interview. Findings recorded where the assessment identified matters not disclosed in the written response.</t>
  </si>
  <si>
    <t xml:space="preserve">Inputs</t>
  </si>
  <si>
    <t xml:space="preserve">AFT-CTX-01 Organisation Context Pack v1.2; AFT-ISMS-RSK-01 risk register v1.0; AFT-ISMS-GAP-01 gap analysis v1.0; supplier contracts and evidence packs.</t>
  </si>
  <si>
    <t xml:space="preserve">RECONCILIATION TO THE RISK REGISTER</t>
  </si>
  <si>
    <t xml:space="preserve">Supplier exposures were already assessed in AFT-ISMS-RSK-01 and are not restated here at different values. R-07 Northgate compromise (residual 15, High); R-08 Northgate outage (residual 8, Moderate); R-09 undisclosed fourth parties (residual 12, High); R-10 Meridian insider exfiltration (residual 12, High). The ratings produced by this assessment are consistent with those residuals. Where this assessment identifies a new exposure, it is raised as a finding and referred for addition to the risk register rather than scored twice.</t>
  </si>
  <si>
    <t xml:space="preserve">CHANGES IN VERSION 2.0</t>
  </si>
  <si>
    <t xml:space="preserve">Two domains added following expert review: D12 Financial viability and business resilience, and D13 Continuous monitoring and ongoing assurance. Both were absent from version 1.0 and both produced material findings.</t>
  </si>
  <si>
    <t xml:space="preserve">Service-model weighting profiles introduced. Version 1.0 applied one weighting to three suppliers with incomparable service models, which scored an offshore contact centre on secure development lifecycle at the same weight as a software provider. Each supplier is now weighted against the profile appropriate to what it actually does. Weights total 100 in every profile, so scores remain comparable across the estate.</t>
  </si>
  <si>
    <t xml:space="preserve">An evidence log has been added recording what was reviewed, when, by whom, and what was requested and not provided. A portfolio concentration analysis has been added, which a supplier-by-supplier assessment cannot produce.</t>
  </si>
  <si>
    <t xml:space="preserve">SCORING MODEL</t>
  </si>
  <si>
    <t xml:space="preserve">Each of 65 questions is scored 0 to 4. A domain score is the mean of its question scores. The overall score is the sum across 13 domains of (domain weight x domain mean / 4), producing a result on a 0 to 100 scale. Weights are drawn from the service-model profile assigned to the supplier and total 100 in every profile.</t>
  </si>
  <si>
    <t xml:space="preserve">4 — Strong</t>
  </si>
  <si>
    <t xml:space="preserve">Control evidenced and independently assured.</t>
  </si>
  <si>
    <t xml:space="preserve">3 — Adequate</t>
  </si>
  <si>
    <t xml:space="preserve">Control evidenced, self-attested.</t>
  </si>
  <si>
    <t xml:space="preserve">2 — Developing</t>
  </si>
  <si>
    <t xml:space="preserve">Control partially in place.</t>
  </si>
  <si>
    <t xml:space="preserve">1 — Weak</t>
  </si>
  <si>
    <t xml:space="preserve">Control asserted but unevidenced.</t>
  </si>
  <si>
    <t xml:space="preserve">0 — Absent</t>
  </si>
  <si>
    <t xml:space="preserve">No control, or refused to answer.</t>
  </si>
  <si>
    <t xml:space="preserve">RATING BANDS (AFT-CTX-01 s9.3)</t>
  </si>
  <si>
    <t xml:space="preserve">85–100  Low risk</t>
  </si>
  <si>
    <t xml:space="preserve">Approve. Standard reassessment cycle.</t>
  </si>
  <si>
    <t xml:space="preserve">70–84  Moderate risk</t>
  </si>
  <si>
    <t xml:space="preserve">Approve with conditions. Remediation plan agreed.</t>
  </si>
  <si>
    <t xml:space="preserve">50–69  High risk</t>
  </si>
  <si>
    <t xml:space="preserve">Approve only with ERC sign-off, compensating controls and a dated remediation plan.</t>
  </si>
  <si>
    <t xml:space="preserve">0–49  Critical risk</t>
  </si>
  <si>
    <t xml:space="preserve">Do not approve, or terminate. Exit plan required.</t>
  </si>
  <si>
    <t xml:space="preserve">AUTOMATIC ESCALATION</t>
  </si>
  <si>
    <t xml:space="preserve">A critical finding in any of four areas escalates the rating one band worse regardless of score: encryption of Restricted data, access control, incident notification commitment, or subcontractor disclosure. The escalation is applied by formula on the Results tab and is visible in the calculation, not applied silently.</t>
  </si>
  <si>
    <t xml:space="preserve">LIMITATIONS</t>
  </si>
  <si>
    <t xml:space="preserve">This is an assessment, not an audit. Evidence was reviewed as presented; no independent testing of supplier controls was performed and no site visit was conducted. Scores reflect the position disclosed and evidenced at the assessment date. Where a supplier's written response was contradicted by evidence reviewed later in the assessment, the finding is recorded and the score reflects the corrected position — see V-01 question 11.1 and V-03 question 3.5.</t>
  </si>
  <si>
    <t xml:space="preserve">Suppliers Assessed</t>
  </si>
  <si>
    <t xml:space="preserve">Tiering per AFT-CTX-01 s9.1. All three suppliers are fictional.</t>
  </si>
  <si>
    <t xml:space="preserve">Supplier ID</t>
  </si>
  <si>
    <t xml:space="preserve">V-01</t>
  </si>
  <si>
    <t xml:space="preserve">V-02</t>
  </si>
  <si>
    <t xml:space="preserve">V-03</t>
  </si>
  <si>
    <t xml:space="preserve">Name</t>
  </si>
  <si>
    <t xml:space="preserve">Northgate Analytics Ltd</t>
  </si>
  <si>
    <t xml:space="preserve">Verrio Cloud Services, Inc.</t>
  </si>
  <si>
    <t xml:space="preserve">Meridian BPO Solutions</t>
  </si>
  <si>
    <t xml:space="preserve">Location</t>
  </si>
  <si>
    <t xml:space="preserve">London, United Kingdom</t>
  </si>
  <si>
    <t xml:space="preserve">Denver, Colorado, United States</t>
  </si>
  <si>
    <t xml:space="preserve">Manila, Philippines</t>
  </si>
  <si>
    <t xml:space="preserve">Service provided</t>
  </si>
  <si>
    <t xml:space="preserve">Machine-learning fraud scoring and risk decisioning, called synchronously in the payment authorisation path</t>
  </si>
  <si>
    <t xml:space="preserve">Document generation and electronic signature for loan agreements and regulatory disclosures</t>
  </si>
  <si>
    <t xml:space="preserve">Outsourced customer support and payment dispute handling, tier 1 and tier 2</t>
  </si>
  <si>
    <t xml:space="preserve">Data accessed</t>
  </si>
  <si>
    <t xml:space="preserve">Cardholder data (truncated PAN and BIN), transaction metadata, merchant data</t>
  </si>
  <si>
    <t xml:space="preserve">Borrower personal data, credit decision output, executed agreements</t>
  </si>
  <si>
    <t xml:space="preserve">Customer personal data, partial account data, dispute correspondence; Restricted on escalation</t>
  </si>
  <si>
    <t xml:space="preserve">Highest classification</t>
  </si>
  <si>
    <t xml:space="preserve">Restricted</t>
  </si>
  <si>
    <t xml:space="preserve">Confidential / Restricted on escalation</t>
  </si>
  <si>
    <t xml:space="preserve">Tier</t>
  </si>
  <si>
    <t xml:space="preserve">Tier 1 — Critical</t>
  </si>
  <si>
    <t xml:space="preserve">Tier 2 — High</t>
  </si>
  <si>
    <t xml:space="preserve">Last assessed</t>
  </si>
  <si>
    <t xml:space="preserve">October 2024 (23 months overdue)</t>
  </si>
  <si>
    <t xml:space="preserve">March 2026 (current)</t>
  </si>
  <si>
    <t xml:space="preserve">August 2025 (13 months, overdue)</t>
  </si>
  <si>
    <t xml:space="preserve">Contract position</t>
  </si>
  <si>
    <t xml:space="preserve">Pre-2023 master agreement; current security schedule NOT incorporated</t>
  </si>
  <si>
    <t xml:space="preserve">2024 agreement; current security schedule incorporated</t>
  </si>
  <si>
    <t xml:space="preserve">2023 agreement; security schedule incorporated but weaker notification terms negotiated</t>
  </si>
  <si>
    <t xml:space="preserve">Linked risks (AFT-ISMS-RSK-01)</t>
  </si>
  <si>
    <t xml:space="preserve">R-07 (residual 15, High), R-08 (residual 8, Moderate), R-09 (residual 12, High)</t>
  </si>
  <si>
    <t xml:space="preserve">None assessed separately; contributes to the general supplier risk position</t>
  </si>
  <si>
    <t xml:space="preserve">R-10 (residual 12, High)</t>
  </si>
  <si>
    <t xml:space="preserve">Assessment Questionnaire and Scored Responses</t>
  </si>
  <si>
    <t xml:space="preserve">65 questions across 13 domains. Score cells drive every figure on the Results tab. Domain weights vary by service-model profile — see Results.</t>
  </si>
  <si>
    <t xml:space="preserve">Domain</t>
  </si>
  <si>
    <t xml:space="preserve">Ref</t>
  </si>
  <si>
    <t xml:space="preserve">Question</t>
  </si>
  <si>
    <t xml:space="preserve">Evidence expected</t>
  </si>
  <si>
    <t xml:space="preserve">V-01 score</t>
  </si>
  <si>
    <t xml:space="preserve">V-01 response and assessor note</t>
  </si>
  <si>
    <t xml:space="preserve">V-02 score</t>
  </si>
  <si>
    <t xml:space="preserve">V-02 response and assessor note</t>
  </si>
  <si>
    <t xml:space="preserve">V-03 score</t>
  </si>
  <si>
    <t xml:space="preserve">V-03 response and assessor note</t>
  </si>
  <si>
    <t xml:space="preserve">D1 — Governance, risk and compliance</t>
  </si>
  <si>
    <t xml:space="preserve">D1</t>
  </si>
  <si>
    <t xml:space="preserve">1.1</t>
  </si>
  <si>
    <t xml:space="preserve">Do you hold a current, independently assured information security certification covering the services provided to Aldridge?</t>
  </si>
  <si>
    <t xml:space="preserve">ISO/IEC 27001 certificate with scope statement, or SOC 2 Type II report</t>
  </si>
  <si>
    <t xml:space="preserve">ISO/IEC 27001:2022 certified; certificate provided, scope covers the decisioning platform. Valid to March 2028.</t>
  </si>
  <si>
    <t xml:space="preserve">ISO/IEC 27001:2022 certified and SOC 2 Type II report for the period to 31 March 2026 provided.</t>
  </si>
  <si>
    <t xml:space="preserve">Not certified. ISO/IEC 27001 implementation programme underway with a stated target of Q4 2027; gap analysis provided as evidence.</t>
  </si>
  <si>
    <t xml:space="preserve">1.2</t>
  </si>
  <si>
    <t xml:space="preserve">Is there a documented information security policy set, approved by executive management and reviewed at least annually?</t>
  </si>
  <si>
    <t xml:space="preserve">Policy index with approval and review dates</t>
  </si>
  <si>
    <t xml:space="preserve">Full policy set provided with board approval and current review dates.</t>
  </si>
  <si>
    <t xml:space="preserve">Policy set provided, annual review evidenced, CISO-owned.</t>
  </si>
  <si>
    <t xml:space="preserve">Policies exist but three of nine are past their stated review date; approval recorded at operations director level, not executive.</t>
  </si>
  <si>
    <t xml:space="preserve">1.3</t>
  </si>
  <si>
    <t xml:space="preserve">Is there a named individual accountable for information security, with a reporting line independent of service delivery?</t>
  </si>
  <si>
    <t xml:space="preserve">Organisation chart and role description</t>
  </si>
  <si>
    <t xml:space="preserve">CISO reports to the CEO. Security team of 11.</t>
  </si>
  <si>
    <t xml:space="preserve">VP Security reports to the CTO with a dotted line to the audit committee.</t>
  </si>
  <si>
    <t xml:space="preserve">Information Security Manager reports to the Head of Operations, who also owns delivery targets. No independent escalation route.</t>
  </si>
  <si>
    <t xml:space="preserve">1.4</t>
  </si>
  <si>
    <t xml:space="preserve">Do you perform a documented information security risk assessment at least annually?</t>
  </si>
  <si>
    <t xml:space="preserve">Risk assessment methodology and most recent register extract</t>
  </si>
  <si>
    <t xml:space="preserve">Annual assessment performed; methodology provided. Register extract redacted more heavily than requested.</t>
  </si>
  <si>
    <t xml:space="preserve">Annual assessment with quarterly review; methodology and register extract provided in full.</t>
  </si>
  <si>
    <t xml:space="preserve">Risk register maintained but no documented methodology; last full review March 2025.</t>
  </si>
  <si>
    <t xml:space="preserve">1.5</t>
  </si>
  <si>
    <t xml:space="preserve">Do you permit customer audit or assessment of the services provided, and has such an assessment been performed in the last 24 months?</t>
  </si>
  <si>
    <t xml:space="preserve">Audit rights clause and evidence of a completed customer assessment</t>
  </si>
  <si>
    <t xml:space="preserve">Audit rights offered in current standard terms. Aldridge holds a pre-2023 contract that does not contain them; Northgate confirmed willingness to grant them by amendment.</t>
  </si>
  <si>
    <t xml:space="preserve">Audit rights present in contract; no customer audit performed in period, remote assessment offered.</t>
  </si>
  <si>
    <t xml:space="preserve">Audit rights present but limited to a shared annual assessment report; site visit requires 90 days notice and is at Meridian's discretion.</t>
  </si>
  <si>
    <t xml:space="preserve">D2 — Access control and identity management</t>
  </si>
  <si>
    <t xml:space="preserve">Automatic escalation area: Access control</t>
  </si>
  <si>
    <t xml:space="preserve">D2</t>
  </si>
  <si>
    <t xml:space="preserve">2.1</t>
  </si>
  <si>
    <t xml:space="preserve">Is multi-factor authentication enforced for all personnel accessing systems that process customer data?</t>
  </si>
  <si>
    <t xml:space="preserve">Configuration evidence or policy plus enforcement screenshot</t>
  </si>
  <si>
    <t xml:space="preserve">MFA enforced across all staff; FIDO2 for administrative roles.</t>
  </si>
  <si>
    <t xml:space="preserve">MFA enforced universally; hardware tokens for privileged access.</t>
  </si>
  <si>
    <t xml:space="preserve">CRITICAL FINDING. No MFA on the agent servicing portal, which is the interface used to access Aldridge customer data. Password-only authentication for approximately 40 agents. MFA is enforced for corporate email but not for the delivery environment.</t>
  </si>
  <si>
    <t xml:space="preserve">2.2</t>
  </si>
  <si>
    <t xml:space="preserve">Are access rights granted on a least-privilege basis and formally approved before provisioning?</t>
  </si>
  <si>
    <t xml:space="preserve">Access request and approval workflow evidence</t>
  </si>
  <si>
    <t xml:space="preserve">Role-based provisioning through an identity platform with manager and system owner approval.</t>
  </si>
  <si>
    <t xml:space="preserve">Role-based with documented approval; joiner workflow integrated with HR.</t>
  </si>
  <si>
    <t xml:space="preserve">Access granted by team leader request via email. No system owner approval step. Role definitions exist but individual grants outside role are common.</t>
  </si>
  <si>
    <t xml:space="preserve">2.3</t>
  </si>
  <si>
    <t xml:space="preserve">Are access rights reviewed and recertified at least quarterly for systems processing customer data?</t>
  </si>
  <si>
    <t xml:space="preserve">Two most recent recertification campaign records</t>
  </si>
  <si>
    <t xml:space="preserve">Recertification performed semi-annually, not quarterly. Records provided for both 2026 cycles.</t>
  </si>
  <si>
    <t xml:space="preserve">Quarterly recertification evidenced with revocation counts.</t>
  </si>
  <si>
    <t xml:space="preserve">Annual review only. Most recent completed February 2026; 14 accounts revoked, indicating material drift between cycles.</t>
  </si>
  <si>
    <t xml:space="preserve">2.4</t>
  </si>
  <si>
    <t xml:space="preserve">Is privileged access separately controlled, time-bound and session-logged?</t>
  </si>
  <si>
    <t xml:space="preserve">PAM configuration or equivalent control evidence</t>
  </si>
  <si>
    <t xml:space="preserve">Administrative access separated with approval workflow; sessions logged but not recorded. No just-in-time expiry.</t>
  </si>
  <si>
    <t xml:space="preserve">Privileged access brokered, time-bound to 8 hours, sessions recorded.</t>
  </si>
  <si>
    <t xml:space="preserve">Administrator accounts are standing and shared between two named individuals for the servicing platform.</t>
  </si>
  <si>
    <t xml:space="preserve">2.5</t>
  </si>
  <si>
    <t xml:space="preserve">Is access revoked within a defined period on termination, and is that period evidenced?</t>
  </si>
  <si>
    <t xml:space="preserve">Leaver procedure and sample revocation records</t>
  </si>
  <si>
    <t xml:space="preserve">Revocation within one business day per procedure; sample records confirm compliance.</t>
  </si>
  <si>
    <t xml:space="preserve">Revocation within 24 hours; sampled records confirm.</t>
  </si>
  <si>
    <t xml:space="preserve">Procedure states 48 hours. Sample of five leavers showed one account active 9 days after departure.</t>
  </si>
  <si>
    <t xml:space="preserve">D3 — Data protection and cryptography</t>
  </si>
  <si>
    <t xml:space="preserve">Automatic escalation area: Encryption of Restricted data</t>
  </si>
  <si>
    <t xml:space="preserve">D3</t>
  </si>
  <si>
    <t xml:space="preserve">3.1</t>
  </si>
  <si>
    <t xml:space="preserve">Is Aldridge data encrypted at rest using an industry-accepted algorithm, with documented key management?</t>
  </si>
  <si>
    <t xml:space="preserve">Encryption standard and key management procedure</t>
  </si>
  <si>
    <t xml:space="preserve">AES-256 at rest; keys in a managed HSM-backed service with documented rotation.</t>
  </si>
  <si>
    <t xml:space="preserve">AES-256 at rest with customer-scoped keys; rotation annually and on personnel change.</t>
  </si>
  <si>
    <t xml:space="preserve">Case management database encrypted at rest by platform default. Key management is the hosting provider's; Meridian could not describe rotation.</t>
  </si>
  <si>
    <t xml:space="preserve">3.2</t>
  </si>
  <si>
    <t xml:space="preserve">Is Aldridge data encrypted in transit, including on internal network segments?</t>
  </si>
  <si>
    <t xml:space="preserve">TLS configuration evidence</t>
  </si>
  <si>
    <t xml:space="preserve">TLS 1.3 externally, TLS 1.2 minimum internally; mutual TLS on the Aldridge integration.</t>
  </si>
  <si>
    <t xml:space="preserve">TLS 1.3 externally and internally; certificate management automated.</t>
  </si>
  <si>
    <t xml:space="preserve">TLS 1.2 externally. Internal traffic between the agent desktop layer and the case database is unencrypted within the delivery centre VLAN.</t>
  </si>
  <si>
    <t xml:space="preserve">3.3</t>
  </si>
  <si>
    <t xml:space="preserve">Is Aldridge data logically or physically segregated from that of other customers?</t>
  </si>
  <si>
    <t xml:space="preserve">Architecture description or tenancy model</t>
  </si>
  <si>
    <t xml:space="preserve">Logical segregation by tenant identifier in a shared database. Segregation testing performed but not independently validated.</t>
  </si>
  <si>
    <t xml:space="preserve">Separate database schema per customer with enforced row-level isolation; independently tested.</t>
  </si>
  <si>
    <t xml:space="preserve">Shared case management instance with role-based filtering. Agents supporting multiple clients can, by misconfiguration, view records outside their assignment; one such incident occurred in 2025.</t>
  </si>
  <si>
    <t xml:space="preserve">3.4</t>
  </si>
  <si>
    <t xml:space="preserve">Are documented data retention and secure deletion practices applied to Aldridge data?</t>
  </si>
  <si>
    <t xml:space="preserve">Retention schedule and deletion evidence</t>
  </si>
  <si>
    <t xml:space="preserve">Retention of 24 months for scoring inputs, documented. Deletion certificate process exists but has not been exercised for Aldridge data.</t>
  </si>
  <si>
    <t xml:space="preserve">Retention configured per customer contract; deletion evidenced with certificates on prior customer offboarding.</t>
  </si>
  <si>
    <t xml:space="preserve">Retention stated as 'per client instruction' but no configuration enforces it. Case records from 2021 remain in the live system.</t>
  </si>
  <si>
    <t xml:space="preserve">3.5</t>
  </si>
  <si>
    <t xml:space="preserve">Where is Aldridge data stored and processed, and are all locations disclosed?</t>
  </si>
  <si>
    <t xml:space="preserve">Data residency statement covering all processing locations</t>
  </si>
  <si>
    <t xml:space="preserve">Primary processing in UK. Model training uses an aggregated dataset processed in a US region — disclosed only on direct questioning during this assessment, not in the original response.</t>
  </si>
  <si>
    <t xml:space="preserve">US processing only; residency statement provided. No UK region available, which constrains future UK expansion.</t>
  </si>
  <si>
    <t xml:space="preserve">Manila primary. Overflow capacity is handled from a second site in Cebu that was not disclosed in the questionnaire response and was identified from the business continuity plan.</t>
  </si>
  <si>
    <t xml:space="preserve">D4 — Secure development and change management</t>
  </si>
  <si>
    <t xml:space="preserve">D4</t>
  </si>
  <si>
    <t xml:space="preserve">4.1</t>
  </si>
  <si>
    <t xml:space="preserve">Is there a documented secure development lifecycle covering design, code review and testing?</t>
  </si>
  <si>
    <t xml:space="preserve">SDLC documentation</t>
  </si>
  <si>
    <t xml:space="preserve">Documented SDLC with mandatory peer review and security sign-off at design.</t>
  </si>
  <si>
    <t xml:space="preserve">Documented SDLC with threat modelling at design stage.</t>
  </si>
  <si>
    <t xml:space="preserve">Configuration-led rather than development-led; changes to the case platform follow a documented change process.</t>
  </si>
  <si>
    <t xml:space="preserve">4.2</t>
  </si>
  <si>
    <t xml:space="preserve">Is static and dependency analysis performed automatically as part of the build?</t>
  </si>
  <si>
    <t xml:space="preserve">Pipeline configuration and a sample report</t>
  </si>
  <si>
    <t xml:space="preserve">SAST and SCA in CI. Findings triaged but no blocking threshold — high severity issues can merge.</t>
  </si>
  <si>
    <t xml:space="preserve">SAST, DAST and SCA with blocking thresholds; sample report provided.</t>
  </si>
  <si>
    <t xml:space="preserve">Not applicable to development, but vendor-supplied platform patches are tested before deployment.</t>
  </si>
  <si>
    <t xml:space="preserve">4.3</t>
  </si>
  <si>
    <t xml:space="preserve">Are development, test and production environments separated, and is production data excluded from lower environments?</t>
  </si>
  <si>
    <t xml:space="preserve">Environment architecture and data handling statement</t>
  </si>
  <si>
    <t xml:space="preserve">Environments separated. Anonymised production-derived data is used in test; anonymisation method described but not independently validated.</t>
  </si>
  <si>
    <t xml:space="preserve">Environments fully separated; synthetic data only in lower environments.</t>
  </si>
  <si>
    <t xml:space="preserve">A test instance of the case platform contains a 2024 copy of live case data including customer records.</t>
  </si>
  <si>
    <t xml:space="preserve">4.4</t>
  </si>
  <si>
    <t xml:space="preserve">Are changes to production formally approved and recorded?</t>
  </si>
  <si>
    <t xml:space="preserve">Change management procedure and sample records</t>
  </si>
  <si>
    <t xml:space="preserve">CAB process with recorded approvals; emergency changes reconciled retrospectively.</t>
  </si>
  <si>
    <t xml:space="preserve">Change process with approval records; sample provided.</t>
  </si>
  <si>
    <t xml:space="preserve">Change log maintained in a spreadsheet; three of ten sampled changes had no recorded approver.</t>
  </si>
  <si>
    <t xml:space="preserve">4.5</t>
  </si>
  <si>
    <t xml:space="preserve">Is a documented rollback capability maintained for production changes?</t>
  </si>
  <si>
    <t xml:space="preserve">Rollback procedure evidence</t>
  </si>
  <si>
    <t xml:space="preserve">Rollback documented and exercised during 2026.</t>
  </si>
  <si>
    <t xml:space="preserve">Blue-green deployment with automated rollback.</t>
  </si>
  <si>
    <t xml:space="preserve">Rollback relies on the platform vendor's support process; not exercised.</t>
  </si>
  <si>
    <t xml:space="preserve">D5 — Infrastructure and network security</t>
  </si>
  <si>
    <t xml:space="preserve">D5</t>
  </si>
  <si>
    <t xml:space="preserve">5.1</t>
  </si>
  <si>
    <t xml:space="preserve">Is the infrastructure hosting Aldridge data segmented from corporate and other environments?</t>
  </si>
  <si>
    <t xml:space="preserve">Network architecture diagram</t>
  </si>
  <si>
    <t xml:space="preserve">Production segregated into a dedicated cloud account with no path to corporate.</t>
  </si>
  <si>
    <t xml:space="preserve">Production isolated per environment with enforced boundaries.</t>
  </si>
  <si>
    <t xml:space="preserve">Delivery centre network segmented from corporate by VLAN; segmentation not tested.</t>
  </si>
  <si>
    <t xml:space="preserve">5.2</t>
  </si>
  <si>
    <t xml:space="preserve">Are systems hardened to a documented baseline?</t>
  </si>
  <si>
    <t xml:space="preserve">Hardening standard and compliance evidence</t>
  </si>
  <si>
    <t xml:space="preserve">CIS benchmarks applied with automated compliance scanning.</t>
  </si>
  <si>
    <t xml:space="preserve">CIS Level 1 with continuous posture monitoring.</t>
  </si>
  <si>
    <t xml:space="preserve">Standard build image used; no documented baseline or compliance scanning.</t>
  </si>
  <si>
    <t xml:space="preserve">5.3</t>
  </si>
  <si>
    <t xml:space="preserve">Are endpoints used to access Aldridge data managed, encrypted and protected by endpoint detection?</t>
  </si>
  <si>
    <t xml:space="preserve">Device management and EDR coverage evidence</t>
  </si>
  <si>
    <t xml:space="preserve">Managed endpoints with disk encryption and EDR at 97% coverage.</t>
  </si>
  <si>
    <t xml:space="preserve">Fully managed fleet, encryption and EDR at 100%, evidenced.</t>
  </si>
  <si>
    <t xml:space="preserve">Agent workstations are locked-down thin clients with no local storage, which is a genuine strength. However there is no endpoint detection capability, and supervisor laptops with local storage are outside the thin client estate.</t>
  </si>
  <si>
    <t xml:space="preserve">5.4</t>
  </si>
  <si>
    <t xml:space="preserve">Are physical access controls in place at facilities where Aldridge data is handled?</t>
  </si>
  <si>
    <t xml:space="preserve">Physical security description and access control evidence</t>
  </si>
  <si>
    <t xml:space="preserve">Cloud-hosted; inherits provider controls. Office access badge-controlled.</t>
  </si>
  <si>
    <t xml:space="preserve">Cloud-hosted; office access controlled and logged.</t>
  </si>
  <si>
    <t xml:space="preserve">Strong. Clean-desk delivery floor, no personal devices, no phones, no writing materials, biometric entry, CCTV with 90-day retention, bag search on exit. The best-controlled aspect of this supplier.</t>
  </si>
  <si>
    <t xml:space="preserve">5.5</t>
  </si>
  <si>
    <t xml:space="preserve">Is remote access to environments processing Aldridge data restricted and monitored?</t>
  </si>
  <si>
    <t xml:space="preserve">Remote access policy and control evidence</t>
  </si>
  <si>
    <t xml:space="preserve">VPN with MFA for engineering access; not zero trust.</t>
  </si>
  <si>
    <t xml:space="preserve">VPN with MFA and device posture checks.</t>
  </si>
  <si>
    <t xml:space="preserve">Home working was permitted for 12 agents during 2025 and remains technically possible. Remote sessions bypass the delivery centre physical controls entirely, and no compensating technical control was introduced.</t>
  </si>
  <si>
    <t xml:space="preserve">D6 — Vulnerability and patch management</t>
  </si>
  <si>
    <t xml:space="preserve">D6</t>
  </si>
  <si>
    <t xml:space="preserve">6.1</t>
  </si>
  <si>
    <t xml:space="preserve">Are vulnerability scans performed at least monthly across the estate?</t>
  </si>
  <si>
    <t xml:space="preserve">Scan schedule and recent report</t>
  </si>
  <si>
    <t xml:space="preserve">Weekly authenticated scanning; report provided.</t>
  </si>
  <si>
    <t xml:space="preserve">Continuous scanning with posture management.</t>
  </si>
  <si>
    <t xml:space="preserve">Monthly external scanning by a third party; internal scanning not performed.</t>
  </si>
  <si>
    <t xml:space="preserve">6.2</t>
  </si>
  <si>
    <t xml:space="preserve">Are remediation timescales defined by severity, and are they met?</t>
  </si>
  <si>
    <t xml:space="preserve">SLA definition and compliance metrics</t>
  </si>
  <si>
    <t xml:space="preserve">SLAs defined; critical within 14 days. Compliance reported at 88%.</t>
  </si>
  <si>
    <t xml:space="preserve">SLAs defined and met at 97%, evidenced monthly.</t>
  </si>
  <si>
    <t xml:space="preserve">No defined SLAs. Patching follows the platform vendor's release cycle.</t>
  </si>
  <si>
    <t xml:space="preserve">6.3</t>
  </si>
  <si>
    <t xml:space="preserve">Is an independent penetration test performed at least annually, with findings remediated?</t>
  </si>
  <si>
    <t xml:space="preserve">Test report summary and remediation evidence</t>
  </si>
  <si>
    <t xml:space="preserve">Annual test by a CREST-accredited firm; June 2026 report summary provided. Two medium findings remain open.</t>
  </si>
  <si>
    <t xml:space="preserve">Annual test with all findings closed; retest evidence provided.</t>
  </si>
  <si>
    <t xml:space="preserve">Last penetration test October 2023. None performed since.</t>
  </si>
  <si>
    <t xml:space="preserve">6.4</t>
  </si>
  <si>
    <t xml:space="preserve">Is patching of operating systems and third-party software performed to a defined schedule?</t>
  </si>
  <si>
    <t xml:space="preserve">Patch management procedure and compliance data</t>
  </si>
  <si>
    <t xml:space="preserve">Monthly patch cycle with emergency path; compliance at 94%.</t>
  </si>
  <si>
    <t xml:space="preserve">Monthly cycle with automated deployment; compliance at 96%.</t>
  </si>
  <si>
    <t xml:space="preserve">Patching performed quarterly on the thin client estate; two systems observed running an unsupported operating system version.</t>
  </si>
  <si>
    <t xml:space="preserve">6.5</t>
  </si>
  <si>
    <t xml:space="preserve">Is there a process to assess and respond to newly disclosed critical vulnerabilities within days?</t>
  </si>
  <si>
    <t xml:space="preserve">Emergency vulnerability response procedure</t>
  </si>
  <si>
    <t xml:space="preserve">Documented emergency response process invoked twice in 2026.</t>
  </si>
  <si>
    <t xml:space="preserve">Documented and exercised; evidence provided for a 2026 critical CVE.</t>
  </si>
  <si>
    <t xml:space="preserve">Reactive; depends on notification from the platform vendor.</t>
  </si>
  <si>
    <t xml:space="preserve">D7 — Logging, monitoring and detection</t>
  </si>
  <si>
    <t xml:space="preserve">D7</t>
  </si>
  <si>
    <t xml:space="preserve">7.1</t>
  </si>
  <si>
    <t xml:space="preserve">Are security-relevant events logged across systems processing Aldridge data?</t>
  </si>
  <si>
    <t xml:space="preserve">Logging scope and sample</t>
  </si>
  <si>
    <t xml:space="preserve">Application, infrastructure and authentication logging in place. Model inference calls are logged in aggregate only, not per transaction.</t>
  </si>
  <si>
    <t xml:space="preserve">Comprehensive logging including data access events; sample provided.</t>
  </si>
  <si>
    <t xml:space="preserve">Application access logged. Database-level access by administrators is not logged.</t>
  </si>
  <si>
    <t xml:space="preserve">7.2</t>
  </si>
  <si>
    <t xml:space="preserve">Are logs retained for a defined period sufficient to support investigation?</t>
  </si>
  <si>
    <t xml:space="preserve">Retention configuration</t>
  </si>
  <si>
    <t xml:space="preserve">12 months retention.</t>
  </si>
  <si>
    <t xml:space="preserve">90 days hot, 12 months archived. Aldridge requested 12 months hot; not currently offered.</t>
  </si>
  <si>
    <t xml:space="preserve">60 days retention. Insufficient to investigate a slow-burn insider incident.</t>
  </si>
  <si>
    <t xml:space="preserve">7.3</t>
  </si>
  <si>
    <t xml:space="preserve">Are logs protected against alteration and deletion by those they record?</t>
  </si>
  <si>
    <t xml:space="preserve">Log integrity control evidence</t>
  </si>
  <si>
    <t xml:space="preserve">Write-once storage with restricted access.</t>
  </si>
  <si>
    <t xml:space="preserve">Immutable storage with separate access control.</t>
  </si>
  <si>
    <t xml:space="preserve">Logs held on the same platform, accessible to the shared administrator accounts identified at 2.4.</t>
  </si>
  <si>
    <t xml:space="preserve">7.4</t>
  </si>
  <si>
    <t xml:space="preserve">Is there monitoring capable of detecting anomalous access to customer data?</t>
  </si>
  <si>
    <t xml:space="preserve">Detection use cases or SIEM evidence</t>
  </si>
  <si>
    <t xml:space="preserve">SIEM with detection content for authentication anomalies and data volume thresholds.</t>
  </si>
  <si>
    <t xml:space="preserve">SIEM in place; detection content focused on infrastructure rather than data access patterns.</t>
  </si>
  <si>
    <t xml:space="preserve">No SIEM. Supervisor spot checks of agent activity, performed weekly on a sample basis.</t>
  </si>
  <si>
    <t xml:space="preserve">7.5</t>
  </si>
  <si>
    <t xml:space="preserve">Is there 24/7 monitoring coverage, or a defined out-of-hours escalation path?</t>
  </si>
  <si>
    <t xml:space="preserve">Coverage model and escalation procedure</t>
  </si>
  <si>
    <t xml:space="preserve">Business hours SOC with on-call escalation out of hours.</t>
  </si>
  <si>
    <t xml:space="preserve">24/7 managed detection and response provider engaged.</t>
  </si>
  <si>
    <t xml:space="preserve">Monitoring is limited to the supervisor spot checks described above, performed only during shift hours. No out-of-hours security coverage despite 24/7 operations.</t>
  </si>
  <si>
    <t xml:space="preserve">D8 — Incident response and breach notification</t>
  </si>
  <si>
    <t xml:space="preserve">Automatic escalation area: Incident notification commitment</t>
  </si>
  <si>
    <t xml:space="preserve">D8</t>
  </si>
  <si>
    <t xml:space="preserve">8.1</t>
  </si>
  <si>
    <t xml:space="preserve">Is there a documented incident response plan covering security incidents affecting customer data?</t>
  </si>
  <si>
    <t xml:space="preserve">Incident response plan</t>
  </si>
  <si>
    <t xml:space="preserve">Documented plan with defined severities and roles.</t>
  </si>
  <si>
    <t xml:space="preserve">Documented plan; roles named with deputies; customer notification workflow embedded.</t>
  </si>
  <si>
    <t xml:space="preserve">Documented plan provided, covering operational and security incidents.</t>
  </si>
  <si>
    <t xml:space="preserve">8.2</t>
  </si>
  <si>
    <t xml:space="preserve">Has the incident response plan been exercised in the last 12 months?</t>
  </si>
  <si>
    <t xml:space="preserve">Exercise record</t>
  </si>
  <si>
    <t xml:space="preserve">Tabletop exercise performed February 2026; report provided.</t>
  </si>
  <si>
    <t xml:space="preserve">Two exercises in 2026, one including customer notification simulation.</t>
  </si>
  <si>
    <t xml:space="preserve">Last exercise November 2024.</t>
  </si>
  <si>
    <t xml:space="preserve">8.3</t>
  </si>
  <si>
    <t xml:space="preserve">What is your contractual commitment to notify Aldridge of an incident affecting Aldridge data?</t>
  </si>
  <si>
    <t xml:space="preserve">Contract clause or written commitment</t>
  </si>
  <si>
    <t xml:space="preserve">CRITICAL FINDING. Commitment is 72 hours from confirmation. Aldridge's standard requirement, per POL-02 and the current security schedule, is 24 hours from detection. The pre-2023 contract in force contains no notification clause at all; the 72-hour figure is Northgate's current standard offer, not a term Aldridge holds.</t>
  </si>
  <si>
    <t xml:space="preserve">24 hours from detection, contractually committed. Confirmed in the executed security schedule.</t>
  </si>
  <si>
    <t xml:space="preserve">Contract states 'promptly'. Meridian's stated internal practice is 5 business days. No committed timescale enforceable by Aldridge.</t>
  </si>
  <si>
    <t xml:space="preserve">8.4</t>
  </si>
  <si>
    <t xml:space="preserve">Do you maintain forensic capability, either internally or under retainer?</t>
  </si>
  <si>
    <t xml:space="preserve">Retainer agreement or internal capability description</t>
  </si>
  <si>
    <t xml:space="preserve">No retainer in place. Stated intention to engage a provider if required, which introduces delay at the point it matters most.</t>
  </si>
  <si>
    <t xml:space="preserve">DFIR retainer in place with a named provider.</t>
  </si>
  <si>
    <t xml:space="preserve">No forensic capability. Investigations conducted by the operations team.</t>
  </si>
  <si>
    <t xml:space="preserve">8.5</t>
  </si>
  <si>
    <t xml:space="preserve">Will you support Aldridge's own investigation, including provision of logs and evidence within a defined period?</t>
  </si>
  <si>
    <t xml:space="preserve">Contractual cooperation commitment</t>
  </si>
  <si>
    <t xml:space="preserve">No contractual cooperation obligation exists in the agreement in force. Northgate indicated willingness to cooperate but declined to commit to a timescale during the assessment.</t>
  </si>
  <si>
    <t xml:space="preserve">Contractual obligation to provide logs within 5 business days.</t>
  </si>
  <si>
    <t xml:space="preserve">No commitment. Log retention of 60 days (7.2) may in any event expire before an Aldridge investigation concludes.</t>
  </si>
  <si>
    <t xml:space="preserve">D9 — Business continuity and resilience</t>
  </si>
  <si>
    <t xml:space="preserve">D9</t>
  </si>
  <si>
    <t xml:space="preserve">9.1</t>
  </si>
  <si>
    <t xml:space="preserve">Is there a documented business continuity and disaster recovery plan covering the services provided?</t>
  </si>
  <si>
    <t xml:space="preserve">BCP/DR plan</t>
  </si>
  <si>
    <t xml:space="preserve">Documented plan with defined RTO of 4 hours and RPO of 15 minutes.</t>
  </si>
  <si>
    <t xml:space="preserve">Documented plan; RTO 2 hours, RPO 5 minutes; customer-specific annex provided.</t>
  </si>
  <si>
    <t xml:space="preserve">Documented plan covering site loss, with failover to the Cebu site.</t>
  </si>
  <si>
    <t xml:space="preserve">9.2</t>
  </si>
  <si>
    <t xml:space="preserve">Has the plan been tested in the last 12 months, with results documented?</t>
  </si>
  <si>
    <t xml:space="preserve">Test report</t>
  </si>
  <si>
    <t xml:space="preserve">Failover test performed April 2026; RTO met.</t>
  </si>
  <si>
    <t xml:space="preserve">Test performed January 2026; RTO met with one action raised.</t>
  </si>
  <si>
    <t xml:space="preserve">Site failover exercise performed March 2026; 60% of capacity restored within 8 hours.</t>
  </si>
  <si>
    <t xml:space="preserve">9.3</t>
  </si>
  <si>
    <t xml:space="preserve">Are recovery objectives consistent with Aldridge's stated requirements for the service?</t>
  </si>
  <si>
    <t xml:space="preserve">RTO/RPO statement mapped to the service</t>
  </si>
  <si>
    <t xml:space="preserve">4-hour RTO. Aldridge's fraud decisioning dependency (A-10) carries a 1-hour objective, so the supplier's RTO does not meet it; the rules-based fallback covers the difference.</t>
  </si>
  <si>
    <t xml:space="preserve">2-hour RTO against an Aldridge requirement of 4 hours for document generation. Meets requirement.</t>
  </si>
  <si>
    <t xml:space="preserve">8-hour partial restoration against dispute-handling obligations with regulatory response deadlines. Does not meet requirement.</t>
  </si>
  <si>
    <t xml:space="preserve">9.4</t>
  </si>
  <si>
    <t xml:space="preserve">Is there a documented exit and data return process?</t>
  </si>
  <si>
    <t xml:space="preserve">Exit procedure and data return commitment</t>
  </si>
  <si>
    <t xml:space="preserve">Exit process documented; data return in a defined format within 30 days.</t>
  </si>
  <si>
    <t xml:space="preserve">Documented exit assistance clause with 60-day transition support.</t>
  </si>
  <si>
    <t xml:space="preserve">No documented exit process. Data return would be negotiated at the time.</t>
  </si>
  <si>
    <t xml:space="preserve">9.5</t>
  </si>
  <si>
    <t xml:space="preserve">Are backups performed, encrypted, and restore-tested?</t>
  </si>
  <si>
    <t xml:space="preserve">Backup configuration and restore test evidence</t>
  </si>
  <si>
    <t xml:space="preserve">Daily encrypted backups; restore tested quarterly.</t>
  </si>
  <si>
    <t xml:space="preserve">Continuous replication plus daily backup; restore tested semi-annually.</t>
  </si>
  <si>
    <t xml:space="preserve">Daily backups performed by the platform vendor. Restore has not been tested by Meridian.</t>
  </si>
  <si>
    <t xml:space="preserve">D10 — Personnel security and awareness</t>
  </si>
  <si>
    <t xml:space="preserve">D10</t>
  </si>
  <si>
    <t xml:space="preserve">10.1</t>
  </si>
  <si>
    <t xml:space="preserve">Is background screening performed on all personnel with access to customer data?</t>
  </si>
  <si>
    <t xml:space="preserve">Screening policy and coverage evidence</t>
  </si>
  <si>
    <t xml:space="preserve">Screening on hire covering identity, right to work and criminal record.</t>
  </si>
  <si>
    <t xml:space="preserve">Screening on hire and re-screened every three years for privileged roles.</t>
  </si>
  <si>
    <t xml:space="preserve">Comprehensive screening including NBI clearance, employment verification and reference checks; re-screened annually. Above the standard of the other two suppliers.</t>
  </si>
  <si>
    <t xml:space="preserve">10.2</t>
  </si>
  <si>
    <t xml:space="preserve">Are confidentiality obligations imposed on personnel, and do they survive termination?</t>
  </si>
  <si>
    <t xml:space="preserve">Employment terms extract</t>
  </si>
  <si>
    <t xml:space="preserve">Confidentiality terms in employment contracts, surviving termination.</t>
  </si>
  <si>
    <t xml:space="preserve">Confidentiality and IP terms with post-termination survival; separately acknowledged annually.</t>
  </si>
  <si>
    <t xml:space="preserve">Confidentiality undertakings signed on hire and re-acknowledged annually; client-specific NDA for Aldridge work.</t>
  </si>
  <si>
    <t xml:space="preserve">10.3</t>
  </si>
  <si>
    <t xml:space="preserve">Is security awareness training delivered at induction and at least annually?</t>
  </si>
  <si>
    <t xml:space="preserve">Training records and completion rate</t>
  </si>
  <si>
    <t xml:space="preserve">Annual training at 93% completion.</t>
  </si>
  <si>
    <t xml:space="preserve">Annual training at 96% completion.</t>
  </si>
  <si>
    <t xml:space="preserve">Induction and annual training; completion at 99%, reflecting a controlled delivery environment.</t>
  </si>
  <si>
    <t xml:space="preserve">10.4</t>
  </si>
  <si>
    <t xml:space="preserve">Is training role-specific for personnel handling sensitive customer data?</t>
  </si>
  <si>
    <t xml:space="preserve">Training content description</t>
  </si>
  <si>
    <t xml:space="preserve">Generic content across the organisation.</t>
  </si>
  <si>
    <t xml:space="preserve">Generic core with an additional module for engineering.</t>
  </si>
  <si>
    <t xml:space="preserve">Content covers data handling and social engineering specific to the servicing role.</t>
  </si>
  <si>
    <t xml:space="preserve">10.5</t>
  </si>
  <si>
    <t xml:space="preserve">Is there a documented disciplinary process for security policy breaches?</t>
  </si>
  <si>
    <t xml:space="preserve">Disciplinary procedure</t>
  </si>
  <si>
    <t xml:space="preserve">Documented and referenced from the security policy.</t>
  </si>
  <si>
    <t xml:space="preserve">Documented; two incidents actioned in 2025.</t>
  </si>
  <si>
    <t xml:space="preserve">Documented; applied following the 2025 record visibility incident referenced at 3.3.</t>
  </si>
  <si>
    <t xml:space="preserve">D11 — Subcontractor and fourth-party management</t>
  </si>
  <si>
    <t xml:space="preserve">Automatic escalation area: Subcontractor disclosure</t>
  </si>
  <si>
    <t xml:space="preserve">D11</t>
  </si>
  <si>
    <t xml:space="preserve">11.1</t>
  </si>
  <si>
    <t xml:space="preserve">Have you disclosed all subcontractors and fourth parties with access to, or that process, Aldridge data?</t>
  </si>
  <si>
    <t xml:space="preserve">Subcontractor register</t>
  </si>
  <si>
    <t xml:space="preserve">CRITICAL FINDING. No subcontractor register provided and none exists. The questionnaire response stated 'none'. The US-based model training processing at 3.5 and the hosting provider both constitute undisclosed processing arrangements.</t>
  </si>
  <si>
    <t xml:space="preserve">Full register provided naming four sub-processors with roles, locations and data categories.</t>
  </si>
  <si>
    <t xml:space="preserve">Response stated 'none'. The Cebu overflow site identified at 3.5 operates under a separate legal entity within the group, which was not disclosed.</t>
  </si>
  <si>
    <t xml:space="preserve">11.2</t>
  </si>
  <si>
    <t xml:space="preserve">Do you assess the security of subcontractors before engagement and periodically thereafter?</t>
  </si>
  <si>
    <t xml:space="preserve">Subcontractor assessment process and records</t>
  </si>
  <si>
    <t xml:space="preserve">No process exists, consistent with the position that no subcontractors are used.</t>
  </si>
  <si>
    <t xml:space="preserve">Sub-processors assessed at onboarding and annually; records provided for two of four.</t>
  </si>
  <si>
    <t xml:space="preserve">No assessment process. Group entities are treated as internal and not assessed.</t>
  </si>
  <si>
    <t xml:space="preserve">11.3</t>
  </si>
  <si>
    <t xml:space="preserve">Do your subcontractor contracts flow down security obligations equivalent to those you owe Aldridge?</t>
  </si>
  <si>
    <t xml:space="preserve">Sample flow-down clause</t>
  </si>
  <si>
    <t xml:space="preserve">Not applicable on the stated position. Hosting agreement reviewed during assessment contains standard provider terms with no Aldridge-specific flow-down.</t>
  </si>
  <si>
    <t xml:space="preserve">Flow-down clauses present; sample provided.</t>
  </si>
  <si>
    <t xml:space="preserve">No flow-down. Intra-group arrangements are governed by a services agreement with no security terms.</t>
  </si>
  <si>
    <t xml:space="preserve">11.4</t>
  </si>
  <si>
    <t xml:space="preserve">Will you notify Aldridge before engaging a new subcontractor that will process Aldridge data?</t>
  </si>
  <si>
    <t xml:space="preserve">Contractual notification commitment</t>
  </si>
  <si>
    <t xml:space="preserve">No such commitment exists in the agreement in force.</t>
  </si>
  <si>
    <t xml:space="preserve">30 days prior notification committed contractually, with a right to object.</t>
  </si>
  <si>
    <t xml:space="preserve">No commitment; Meridian considers resourcing decisions to be operational matters.</t>
  </si>
  <si>
    <t xml:space="preserve">11.5</t>
  </si>
  <si>
    <t xml:space="preserve">Can you confirm the countries in which subcontractors process Aldridge data?</t>
  </si>
  <si>
    <t xml:space="preserve">Processing location statement covering the full chain</t>
  </si>
  <si>
    <t xml:space="preserve">Cannot be confirmed, as the chain is neither mapped nor disclosed. This is the finding underlying Aldridge risk R-09.</t>
  </si>
  <si>
    <t xml:space="preserve">Full location statement provided covering all four sub-processors.</t>
  </si>
  <si>
    <t xml:space="preserve">Philippines confirmed for both sites. No mapping beyond the group.</t>
  </si>
  <si>
    <t xml:space="preserve">D12 — Financial viability and business resilience</t>
  </si>
  <si>
    <t xml:space="preserve">D12</t>
  </si>
  <si>
    <t xml:space="preserve">12.1</t>
  </si>
  <si>
    <t xml:space="preserve">Do you provide audited financial statements, or equivalent assurance of financial standing, on request?</t>
  </si>
  <si>
    <t xml:space="preserve">Most recent audited accounts or an accountant's statement</t>
  </si>
  <si>
    <t xml:space="preserve">Declined to provide accounts, citing private company confidentiality. Companies House filing is abridged and gives no view of profitability or cash position.</t>
  </si>
  <si>
    <t xml:space="preserve">Audited statements for FY2025 provided under NDA. Profitable, no going concern qualification.</t>
  </si>
  <si>
    <t xml:space="preserve">Group accounts provided, unaudited at entity level. Parent is profitable; the Aldridge-serving entity is not separately reported.</t>
  </si>
  <si>
    <t xml:space="preserve">12.2</t>
  </si>
  <si>
    <t xml:space="preserve">Are there any matters that would cast doubt on the going concern basis, or any material litigation?</t>
  </si>
  <si>
    <t xml:space="preserve">Directors' statement or written confirmation</t>
  </si>
  <si>
    <t xml:space="preserve">Written confirmation provided that no such matters exist. Unverifiable without accounts.</t>
  </si>
  <si>
    <t xml:space="preserve">Confirmed in the audited accounts and in a directors' statement.</t>
  </si>
  <si>
    <t xml:space="preserve">Written confirmation provided. One employment dispute disclosed as immaterial.</t>
  </si>
  <si>
    <t xml:space="preserve">12.3</t>
  </si>
  <si>
    <t xml:space="preserve">Do you hold cyber, professional indemnity and crime insurance at a level appropriate to the services provided?</t>
  </si>
  <si>
    <t xml:space="preserve">Certificates of insurance with limits</t>
  </si>
  <si>
    <t xml:space="preserve">Cyber and PI cover confirmed. Limits are below the exposure Aldridge would face from a compromise of this integration.</t>
  </si>
  <si>
    <t xml:space="preserve">Certificates provided; limits adequate against the contracted liability cap.</t>
  </si>
  <si>
    <t xml:space="preserve">Cyber and crime cover confirmed with certificates; limits appropriate to the service scale.</t>
  </si>
  <si>
    <t xml:space="preserve">12.4</t>
  </si>
  <si>
    <t xml:space="preserve">What proportion of your revenue does your largest customer represent, and are you dependent on a single client?</t>
  </si>
  <si>
    <t xml:space="preserve">Customer concentration statement</t>
  </si>
  <si>
    <t xml:space="preserve">Declined to answer. Aldridge cannot assess whether its own withdrawal or a peer's would destabilise the supplier.</t>
  </si>
  <si>
    <t xml:space="preserve">Stated that no customer exceeds 12% of revenue.</t>
  </si>
  <si>
    <t xml:space="preserve">Declined to answer at entity level. Delivery centre appears substantially dedicated to two clients including Aldridge.</t>
  </si>
  <si>
    <t xml:space="preserve">12.5</t>
  </si>
  <si>
    <t xml:space="preserve">Will you notify Aldridge of a change of control, material restructuring or insolvency event?</t>
  </si>
  <si>
    <t xml:space="preserve">No contractual commitment in the agreement in force. Standard terms include one; Aldridge is on legacy paper.</t>
  </si>
  <si>
    <t xml:space="preserve">Change of control notification committed contractually with 30 days notice.</t>
  </si>
  <si>
    <t xml:space="preserve">No commitment. A 2024 intra-group restructuring was not notified to Aldridge at the time.</t>
  </si>
  <si>
    <t xml:space="preserve">D13 — Continuous monitoring and ongoing assurance</t>
  </si>
  <si>
    <t xml:space="preserve">D13</t>
  </si>
  <si>
    <t xml:space="preserve">13.1</t>
  </si>
  <si>
    <t xml:space="preserve">Do you accept continuous external security monitoring (security ratings) of your internet-facing estate?</t>
  </si>
  <si>
    <t xml:space="preserve">Written consent and rating history</t>
  </si>
  <si>
    <t xml:space="preserve">Not agreed. No continuous monitoring is in place for any Aldridge supplier at present.</t>
  </si>
  <si>
    <t xml:space="preserve">Consent given; monitoring can be enabled on Aldridge's side.</t>
  </si>
  <si>
    <t xml:space="preserve">Not agreed; supplier considers external scanning intrusive.</t>
  </si>
  <si>
    <t xml:space="preserve">13.2</t>
  </si>
  <si>
    <t xml:space="preserve">Do you provide periodic control attestation between full assessments?</t>
  </si>
  <si>
    <t xml:space="preserve">Attestation cadence and sample</t>
  </si>
  <si>
    <t xml:space="preserve">Annual questionnaire only. No interim attestation.</t>
  </si>
  <si>
    <t xml:space="preserve">Quarterly control attestation offered under the current agreement.</t>
  </si>
  <si>
    <t xml:space="preserve">No interim attestation. Contact between assessments is operational only.</t>
  </si>
  <si>
    <t xml:space="preserve">13.3</t>
  </si>
  <si>
    <t xml:space="preserve">Will you notify Aldridge of a material adverse change to your control environment between assessments?</t>
  </si>
  <si>
    <t xml:space="preserve">Contractual commitment</t>
  </si>
  <si>
    <t xml:space="preserve">No contractual commitment; verbal willingness expressed.</t>
  </si>
  <si>
    <t xml:space="preserve">Committed in the security schedule.</t>
  </si>
  <si>
    <t xml:space="preserve">No commitment. The MFA gap at 2.1 has existed since at least the August 2025 assessment and was never notified.</t>
  </si>
  <si>
    <t xml:space="preserve">13.4</t>
  </si>
  <si>
    <t xml:space="preserve">Do you provide evidence of ongoing control operation, rather than point-in-time design confirmation?</t>
  </si>
  <si>
    <t xml:space="preserve">Sample operating evidence</t>
  </si>
  <si>
    <t xml:space="preserve">Point-in-time only. Evidence provided relates to design, not operation over a period.</t>
  </si>
  <si>
    <t xml:space="preserve">SOC 2 Type II covers operation over a period; supplemented by quarterly metrics.</t>
  </si>
  <si>
    <t xml:space="preserve">Point-in-time only, and several items were provided as verbal assurance rather than evidence.</t>
  </si>
  <si>
    <t xml:space="preserve">13.5</t>
  </si>
  <si>
    <t xml:space="preserve">Do you notify customers of security incidents affecting your wider estate, not only those confirmed to affect their data?</t>
  </si>
  <si>
    <t xml:space="preserve">Policy or contractual position</t>
  </si>
  <si>
    <t xml:space="preserve">Notification is limited to confirmed customer impact, which means Aldridge would not learn of a supplier compromise until attribution completed.</t>
  </si>
  <si>
    <t xml:space="preserve">Notifies all customers of material incidents regardless of confirmed impact.</t>
  </si>
  <si>
    <t xml:space="preserve">No policy. Notification would be at Meridian's discretion.</t>
  </si>
  <si>
    <t xml:space="preserve">Domain Scores, Weighted Result and Rating</t>
  </si>
  <si>
    <t xml:space="preserve">Every figure is a formula reading the Questionnaire &amp; Scores tab. Escalation is applied in the open, not silently.</t>
  </si>
  <si>
    <t xml:space="preserve">Profiles applied: V-01 SaaS — Critical path  |  V-02 SaaS — Standard  |  V-03 Human services / BPO</t>
  </si>
  <si>
    <t xml:space="preserve">V-01 weight</t>
  </si>
  <si>
    <t xml:space="preserve">V-01 mean</t>
  </si>
  <si>
    <t xml:space="preserve">V-01 wtd</t>
  </si>
  <si>
    <t xml:space="preserve">V-02 weight</t>
  </si>
  <si>
    <t xml:space="preserve">V-02 mean</t>
  </si>
  <si>
    <t xml:space="preserve">V-02 wtd</t>
  </si>
  <si>
    <t xml:space="preserve">V-03 weight</t>
  </si>
  <si>
    <t xml:space="preserve">V-03 mean</t>
  </si>
  <si>
    <t xml:space="preserve">V-03 wtd</t>
  </si>
  <si>
    <t xml:space="preserve">OVERALL SCORE (0–100)</t>
  </si>
  <si>
    <t xml:space="preserve">RATING DERIVATION</t>
  </si>
  <si>
    <t xml:space="preserve">V-01 Northgate Analytics Ltd</t>
  </si>
  <si>
    <t xml:space="preserve">V-02 Verrio Cloud Services, Inc.</t>
  </si>
  <si>
    <t xml:space="preserve">V-03 Meridian BPO Solutions</t>
  </si>
  <si>
    <t xml:space="preserve">Overall score</t>
  </si>
  <si>
    <t xml:space="preserve">Base band</t>
  </si>
  <si>
    <t xml:space="preserve">Critical findings in escalation areas</t>
  </si>
  <si>
    <t xml:space="preserve">Escalation applied</t>
  </si>
  <si>
    <t xml:space="preserve">FINAL RISK RATING</t>
  </si>
  <si>
    <t xml:space="preserve">Consequence under POL-09</t>
  </si>
  <si>
    <t xml:space="preserve">Decision</t>
  </si>
  <si>
    <t xml:space="preserve">Approve with conditions. Continue service. F-01 and F-02 are preconditions of continued Tier 1 status; contract amendment required by 31 December 2026. Reassess on delivery.</t>
  </si>
  <si>
    <t xml:space="preserve">Approve. No conditions. Return to the standard annual reassessment cycle, next due March 2027.</t>
  </si>
  <si>
    <t xml:space="preserve">Deviation from standard consequence, requiring ERC approval — see finding F-16. Immediate interim controls, 6-month risk acceptance, parallel exit-capability assessment, re-score 31 March 2027.</t>
  </si>
  <si>
    <t xml:space="preserve">The escalation rule is doing real work here. V-01 scores in the Moderate band and would read as an acceptable supplier on score alone. It is escalated to High because subcontractor disclosure is absent — a condition that no amount of strength elsewhere compensates for, since Aldridge cannot state where its Restricted data resides. V-03 scores 52, at the bottom of the High band, and escalates to Critical on two access-control findings. The model is deliberately structured so that a supplier cannot average its way past a control failure in an area where failure is decisive. Note also what the service-model weighting changed and did not change: Meridian is no longer scored heavily on secure development lifecycle, which is close to irrelevant to a contact centre, and is weighted instead on people, access and monitoring. Correcting that distortion moved its score by less than a point. The weighting was wrong in version 1.0 and fixing it did not rescue the supplier.</t>
  </si>
  <si>
    <t xml:space="preserve">Findings and Required Remediation</t>
  </si>
  <si>
    <t xml:space="preserve">Consequence column states what happens if the action is not delivered by the deadline.</t>
  </si>
  <si>
    <t xml:space="preserve">Supplier</t>
  </si>
  <si>
    <t xml:space="preserve">Finding</t>
  </si>
  <si>
    <t xml:space="preserve">Severity</t>
  </si>
  <si>
    <t xml:space="preserve">Finding detail</t>
  </si>
  <si>
    <t xml:space="preserve">Required action</t>
  </si>
  <si>
    <t xml:space="preserve">Deadline</t>
  </si>
  <si>
    <t xml:space="preserve">Consequence of non-delivery</t>
  </si>
  <si>
    <t xml:space="preserve">F-01</t>
  </si>
  <si>
    <t xml:space="preserve">Critical</t>
  </si>
  <si>
    <t xml:space="preserve">Subcontractor arrangements are neither disclosed nor mapped. The questionnaire response stated that no subcontractors are used; the assessment identified US-based model training processing and a hosting provider, both of which process or could access Aldridge data.</t>
  </si>
  <si>
    <t xml:space="preserve">Provide a complete subcontractor and fourth-party register naming every party, its role, its processing location and the data categories involved. Execute a contract amendment requiring prior notification of new subcontractors with a right to object.</t>
  </si>
  <si>
    <t xml:space="preserve">31 December 2026</t>
  </si>
  <si>
    <t xml:space="preserve">Suspension of new data sharing pending disclosure. Escalation to the ERC if not delivered.</t>
  </si>
  <si>
    <t xml:space="preserve">F-02</t>
  </si>
  <si>
    <t xml:space="preserve">No contractual incident notification obligation exists. The agreement in force predates the current security schedule and contains no notification clause. Northgate's standard offer of 72 hours from confirmation falls short of the 24 hours from detection required by POL-02.</t>
  </si>
  <si>
    <t xml:space="preserve">Execute a contract amendment incorporating the current security schedule, including 24-hour notification from detection, cooperation with Aldridge investigations, and log provision within 5 business days.</t>
  </si>
  <si>
    <t xml:space="preserve">This is a precondition of continued Tier 1 status. Non-delivery triggers an exit assessment.</t>
  </si>
  <si>
    <t xml:space="preserve">F-03</t>
  </si>
  <si>
    <t xml:space="preserve">High</t>
  </si>
  <si>
    <t xml:space="preserve">The supplier has not been reassessed since October 2024, 23 months against an annual obligation under POL-09. Aldridge holds no current view of a supplier in the synchronous payment authorisation path.</t>
  </si>
  <si>
    <t xml:space="preserve">This assessment discharges the overdue reassessment. Record the next due date and configure automated escalation to the CISO at 30 days overdue.</t>
  </si>
  <si>
    <t xml:space="preserve">Complete</t>
  </si>
  <si>
    <t xml:space="preserve">n/a — closed by this assessment.</t>
  </si>
  <si>
    <t xml:space="preserve">F-04</t>
  </si>
  <si>
    <t xml:space="preserve">Medium</t>
  </si>
  <si>
    <t xml:space="preserve">Model training is performed on an aggregated dataset processed in a US region. This was disclosed only under direct questioning and does not appear in the contract or in any transfer assessment.</t>
  </si>
  <si>
    <t xml:space="preserve">Document the transfer, confirm the lawful mechanism with the Aldridge DPO, and record it in the processing register. Confirm whether the aggregated dataset is genuinely non-identifiable.</t>
  </si>
  <si>
    <t xml:space="preserve">31 January 2027</t>
  </si>
  <si>
    <t xml:space="preserve">Referral to the DPO for independent assessment under UK GDPR Articles 44-49.</t>
  </si>
  <si>
    <t xml:space="preserve">F-05</t>
  </si>
  <si>
    <t xml:space="preserve">No forensic retainer and no contractual cooperation obligation. In an incident, Aldridge would depend on goodwill for evidence at the point where speed determines regulatory exposure.</t>
  </si>
  <si>
    <t xml:space="preserve">Include cooperation and evidence provision commitments in the contract amendment at F-02. Request that Northgate establish a DFIR retainer.</t>
  </si>
  <si>
    <t xml:space="preserve">Factored into the next reassessment score.</t>
  </si>
  <si>
    <t xml:space="preserve">F-06</t>
  </si>
  <si>
    <t xml:space="preserve">Low</t>
  </si>
  <si>
    <t xml:space="preserve">Access recertification is performed semi-annually against an Aldridge expectation of quarterly for suppliers holding Restricted data.</t>
  </si>
  <si>
    <t xml:space="preserve">Request a move to quarterly recertification for personnel with access to the Aldridge tenant.</t>
  </si>
  <si>
    <t xml:space="preserve">30 June 2027</t>
  </si>
  <si>
    <t xml:space="preserve">Monitored; not blocking.</t>
  </si>
  <si>
    <t xml:space="preserve">F-07</t>
  </si>
  <si>
    <t xml:space="preserve">Log retention is 90 days hot and 12 months archived. Aldridge requested 12 months hot for investigation support; this is not currently offered.</t>
  </si>
  <si>
    <t xml:space="preserve">Agree an archive retrieval service level of no more than 48 hours as a compensating measure, recorded in the service schedule.</t>
  </si>
  <si>
    <t xml:space="preserve">31 March 2027</t>
  </si>
  <si>
    <t xml:space="preserve">Monitored; does not affect approval.</t>
  </si>
  <si>
    <t xml:space="preserve">F-08</t>
  </si>
  <si>
    <t xml:space="preserve">Sub-processor assessment records were provided for two of four named parties.</t>
  </si>
  <si>
    <t xml:space="preserve">Request the outstanding two assessment records at the next annual reassessment.</t>
  </si>
  <si>
    <t xml:space="preserve">March 2027</t>
  </si>
  <si>
    <t xml:space="preserve">Monitored.</t>
  </si>
  <si>
    <t xml:space="preserve">F-09</t>
  </si>
  <si>
    <t xml:space="preserve">No UK processing region is available, which will constrain the UK entity's use of the service if data residency requirements tighten.</t>
  </si>
  <si>
    <t xml:space="preserve">Record as a strategic constraint in the supplier register. Review if UK volumes grow materially.</t>
  </si>
  <si>
    <t xml:space="preserve">Annual review</t>
  </si>
  <si>
    <t xml:space="preserve">Informational.</t>
  </si>
  <si>
    <t xml:space="preserve">F-10</t>
  </si>
  <si>
    <t xml:space="preserve">No multi-factor authentication on the agent servicing portal used to access Aldridge customer data. Approximately 40 agents authenticate with a password alone. Administrator accounts for the same platform are standing and shared between two individuals.</t>
  </si>
  <si>
    <t xml:space="preserve">IMMEDIATE: route all agent access through the Aldridge-controlled dedicated access path, which enforces Aldridge MFA, and disable direct portal authentication. Meridian to enforce MFA natively and eliminate shared administrator accounts.</t>
  </si>
  <si>
    <t xml:space="preserve">Interim within 14 days; native MFA by 31 December 2026</t>
  </si>
  <si>
    <t xml:space="preserve">Restricted-data escalation access is suspended until the interim control is in place.</t>
  </si>
  <si>
    <t xml:space="preserve">F-11</t>
  </si>
  <si>
    <t xml:space="preserve">Home working was permitted for 12 agents during 2025 and remains technically possible. Remote sessions bypass the delivery centre physical controls entirely, which are the principal control this supplier relies upon, with no compensating technical control introduced.</t>
  </si>
  <si>
    <t xml:space="preserve">Contractually prohibit remote access to Aldridge work. Enforce technically by restricting the Aldridge access path to delivery centre source addresses.</t>
  </si>
  <si>
    <t xml:space="preserve">Included in the ERC escalation. Non-delivery triggers exit planning.</t>
  </si>
  <si>
    <t xml:space="preserve">F-12</t>
  </si>
  <si>
    <t xml:space="preserve">The Cebu overflow site was not disclosed. It operates under a separate group legal entity, is not covered by the Aldridge agreement, and has not been assessed.</t>
  </si>
  <si>
    <t xml:space="preserve">Disclose and formally scope the Cebu site. Either bring it within the Aldridge agreement with equivalent terms and assess it, or contractually exclude Aldridge work from it.</t>
  </si>
  <si>
    <t xml:space="preserve">Aldridge work to be excluded from Cebu until resolved.</t>
  </si>
  <si>
    <t xml:space="preserve">F-13</t>
  </si>
  <si>
    <t xml:space="preserve">Shared case management instance with role-based filtering only. A 2025 incident allowed an agent to view records outside their assignment. A test instance holds a 2024 copy of live case data. Live case records dating to 2021 remain undeleted.</t>
  </si>
  <si>
    <t xml:space="preserve">Provide evidence of remediation of the 2025 incident. Purge the test instance. Implement and evidence retention-based deletion of Aldridge case records.</t>
  </si>
  <si>
    <t xml:space="preserve">Escalated to the Aldridge DPO; potential UK GDPR storage limitation exposure mirroring internal risk R-05.</t>
  </si>
  <si>
    <t xml:space="preserve">F-14</t>
  </si>
  <si>
    <t xml:space="preserve">No committed incident notification timescale. Contract states 'promptly'; internal practice is 5 business days. With 60-day log retention and no forensic capability, an incident may be unreportable by the time Aldridge learns of it.</t>
  </si>
  <si>
    <t xml:space="preserve">Execute a contract amendment committing to 24-hour notification from detection, 12-month log retention for Aldridge activity, and evidence provision within 5 business days.</t>
  </si>
  <si>
    <t xml:space="preserve">Precondition of continued engagement.</t>
  </si>
  <si>
    <t xml:space="preserve">F-15</t>
  </si>
  <si>
    <t xml:space="preserve">No penetration test since October 2023. No defined remediation SLAs. Two systems observed running an unsupported operating system version.</t>
  </si>
  <si>
    <t xml:space="preserve">Commission an independent penetration test of the delivery environment and provide the report with a remediation plan. Remediate unsupported systems.</t>
  </si>
  <si>
    <t xml:space="preserve">Factored into the re-score at F-16.</t>
  </si>
  <si>
    <t xml:space="preserve">F-17</t>
  </si>
  <si>
    <t xml:space="preserve">No sanctions or financial crime obligation flows down to a supplier sitting in the synchronous payment authorisation path. Northgate has no contractual requirement to screen, to escalate an indicator of a sanctioned party, or to preserve the record of a transaction it declines. Its fraud decline logic could mask a transaction that also raised a sanctions concern, and Aldridge would receive no signal distinguishing the two.</t>
  </si>
  <si>
    <t xml:space="preserve">Amend the agreement to require escalation of any indicator suggesting a sanctioned party, preservation of the underlying record, and cooperation with an Aldridge sanctions investigation. Obtain Legal confirmation on whether the decline logic can mask a screening event, and whether any remediation is required for the period since 2021.</t>
  </si>
  <si>
    <t xml:space="preserve">OFAC liability is strict and does not transfer with the activity. Escalate to the ERC with the F-01 and F-02 amendment package.</t>
  </si>
  <si>
    <t xml:space="preserve">F-18</t>
  </si>
  <si>
    <t xml:space="preserve">Meridian agents can see restricted and blocked accounts while speaking to the customer, with no instruction on what may be said. An agent explaining why a payment was blocked could constitute tipping off, which is a criminal offence in the United Kingdom. The assessment also identified that contractual obligations requiring Meridian to screen, monitor and discipline its own staff have never been tested against Philippine employment law.</t>
  </si>
  <si>
    <t xml:space="preserve">Issue binding handling instructions covering exactly what an agent may and may not say on a restricted or blocked account; train and test on them. Add a contractual confidentiality obligation covering financial crime matters specifically. Obtain local counsel advice on the enforceability of the staff screening, monitoring and disciplinary obligations.</t>
  </si>
  <si>
    <t xml:space="preserve">Included in the F-16 ERC escalation. Restricted-data escalation access remains suspended until the handling instructions are in force.</t>
  </si>
  <si>
    <t xml:space="preserve">F-16</t>
  </si>
  <si>
    <t xml:space="preserve">Overall score of 52 places Meridian in the High risk band before escalation. Two critical findings escalate the rating to Critical, which under POL-09 requires that the supplier not be approved or be terminated.</t>
  </si>
  <si>
    <t xml:space="preserve">Do not terminate immediately: Meridian handles live regulated dispute volume and abrupt exit would create customer harm and a regulatory exposure greater than the risk being avoided. Instead: (a) obtain formal ERC risk acceptance for a defined 6-month period; (b) implement the interim controls at F-10 and F-11 within 14 days; (c) commission a parallel exit-capability assessment identifying an alternative supplier or in-house route; (d) re-score at 31 March 2027 and terminate if the Critical rating persists.</t>
  </si>
  <si>
    <t xml:space="preserve">ERC decision by 30 September 2026</t>
  </si>
  <si>
    <t xml:space="preserve">This is a deliberate deviation from the standard consequence for a Critical rating and must be recorded as such, with Board Audit Committee visibility.</t>
  </si>
  <si>
    <t xml:space="preserve">Evidence Log</t>
  </si>
  <si>
    <t xml:space="preserve">What was reviewed, when, by whom — and what was requested and not provided.</t>
  </si>
  <si>
    <t xml:space="preserve">Evidence item</t>
  </si>
  <si>
    <t xml:space="preserve">Description</t>
  </si>
  <si>
    <t xml:space="preserve">Disposition</t>
  </si>
  <si>
    <t xml:space="preserve">Date</t>
  </si>
  <si>
    <t xml:space="preserve">Reviewer</t>
  </si>
  <si>
    <t xml:space="preserve">Observation</t>
  </si>
  <si>
    <t xml:space="preserve">ISO/IEC 27001:2022 certificate</t>
  </si>
  <si>
    <t xml:space="preserve">Certificate no. UK-2024-118432, scope statement</t>
  </si>
  <si>
    <t xml:space="preserve">Reviewed</t>
  </si>
  <si>
    <t xml:space="preserve">2 Sep 2026</t>
  </si>
  <si>
    <t xml:space="preserve">Chidi Eze</t>
  </si>
  <si>
    <t xml:space="preserve">Scope confirmed to cover the decisioning platform; valid to Mar 2028</t>
  </si>
  <si>
    <t xml:space="preserve">Penetration test report</t>
  </si>
  <si>
    <t xml:space="preserve">CREST-accredited firm, executive summary only</t>
  </si>
  <si>
    <t xml:space="preserve">Reviewed (redacted)</t>
  </si>
  <si>
    <t xml:space="preserve">Full report withheld; two medium findings open per the summary</t>
  </si>
  <si>
    <t xml:space="preserve">Security policy set</t>
  </si>
  <si>
    <t xml:space="preserve">9 documents, index with approval dates</t>
  </si>
  <si>
    <t xml:space="preserve">Board approval and current review dates evidenced</t>
  </si>
  <si>
    <t xml:space="preserve">Hosting agreement</t>
  </si>
  <si>
    <t xml:space="preserve">Supplier's own cloud provider terms</t>
  </si>
  <si>
    <t xml:space="preserve">3 Sep 2026</t>
  </si>
  <si>
    <t xml:space="preserve">Elena Petrova</t>
  </si>
  <si>
    <t xml:space="preserve">Identified undisclosed processing arrangement; basis of finding F-01</t>
  </si>
  <si>
    <t xml:space="preserve">Master services agreement (Aldridge)</t>
  </si>
  <si>
    <t xml:space="preserve">Executed 2021</t>
  </si>
  <si>
    <t xml:space="preserve">No security schedule, no notification clause; basis of finding F-02</t>
  </si>
  <si>
    <t xml:space="preserve">Audited accounts</t>
  </si>
  <si>
    <t xml:space="preserve">Requested</t>
  </si>
  <si>
    <t xml:space="preserve">Not provided</t>
  </si>
  <si>
    <t xml:space="preserve">4 Sep 2026</t>
  </si>
  <si>
    <t xml:space="preserve">Declined. Basis of the D12 score</t>
  </si>
  <si>
    <t xml:space="preserve">SOC 2 Type II report</t>
  </si>
  <si>
    <t xml:space="preserve">Period to 31 Mar 2026, unqualified</t>
  </si>
  <si>
    <t xml:space="preserve">No exceptions relevant to the Aldridge service</t>
  </si>
  <si>
    <t xml:space="preserve">ISO/IEC 27001 certificate</t>
  </si>
  <si>
    <t xml:space="preserve">Certificate with scope statement</t>
  </si>
  <si>
    <t xml:space="preserve">Scope covers the document platform</t>
  </si>
  <si>
    <t xml:space="preserve">Sub-processor register</t>
  </si>
  <si>
    <t xml:space="preserve">4 named parties with locations</t>
  </si>
  <si>
    <t xml:space="preserve">Assessment records provided for 2 of 4; basis of finding F-08</t>
  </si>
  <si>
    <t xml:space="preserve">Audited financial statements</t>
  </si>
  <si>
    <t xml:space="preserve">FY2025, provided under NDA</t>
  </si>
  <si>
    <t xml:space="preserve">Profitable; no going concern qualification</t>
  </si>
  <si>
    <t xml:space="preserve">Penetration test report and retest</t>
  </si>
  <si>
    <t xml:space="preserve">Full report provided</t>
  </si>
  <si>
    <t xml:space="preserve">All findings closed and retested</t>
  </si>
  <si>
    <t xml:space="preserve">Agent portal authentication configuration</t>
  </si>
  <si>
    <t xml:space="preserve">Screen share walkthrough</t>
  </si>
  <si>
    <t xml:space="preserve">Observed</t>
  </si>
  <si>
    <t xml:space="preserve">Password-only authentication confirmed by observation; basis of finding F-10</t>
  </si>
  <si>
    <t xml:space="preserve">Delivery centre physical controls</t>
  </si>
  <si>
    <t xml:space="preserve">Virtual walkthrough by supplier</t>
  </si>
  <si>
    <t xml:space="preserve">Clean floor, biometric entry, bag search confirmed. Not independently verified</t>
  </si>
  <si>
    <t xml:space="preserve">Business continuity plan</t>
  </si>
  <si>
    <t xml:space="preserve">Full document</t>
  </si>
  <si>
    <t xml:space="preserve">Identified the undisclosed Cebu site; basis of finding F-12</t>
  </si>
  <si>
    <t xml:space="preserve">Access review record</t>
  </si>
  <si>
    <t xml:space="preserve">Feb 2026 campaign</t>
  </si>
  <si>
    <t xml:space="preserve">14 accounts revoked, indicating drift between annual cycles</t>
  </si>
  <si>
    <t xml:space="preserve">Leaver revocation sample</t>
  </si>
  <si>
    <t xml:space="preserve">5 leavers, 2026</t>
  </si>
  <si>
    <t xml:space="preserve">Sampled</t>
  </si>
  <si>
    <t xml:space="preserve">One account active 9 days post-departure</t>
  </si>
  <si>
    <t xml:space="preserve">None performed since Oct 2023; basis of finding F-15</t>
  </si>
  <si>
    <t xml:space="preserve">Group accounts</t>
  </si>
  <si>
    <t xml:space="preserve">Unaudited at entity level</t>
  </si>
  <si>
    <t xml:space="preserve">Entity not separately reported</t>
  </si>
  <si>
    <t xml:space="preserve">Items marked Not provided are as significant as the items reviewed. A supplier that declines to evidence a control has not demonstrated it, and the score reflects that rather than giving credit for the assertion. Three requests were refused across the assessment, all by suppliers already carrying material findings.</t>
  </si>
  <si>
    <t xml:space="preserve">Portfolio Concentration Analysis</t>
  </si>
  <si>
    <t xml:space="preserve">A supplier-by-supplier assessment cannot produce this view. It is where the estate-level exposure sits.</t>
  </si>
  <si>
    <t xml:space="preserve">Service or dependency</t>
  </si>
  <si>
    <t xml:space="preserve">Suppliers involved</t>
  </si>
  <si>
    <t xml:space="preserve">Concentration position</t>
  </si>
  <si>
    <t xml:space="preserve">Assessment</t>
  </si>
  <si>
    <t xml:space="preserve">Cloud hosting</t>
  </si>
  <si>
    <t xml:space="preserve">Northgate (undisclosed provider), Verrio (AWS), Meridian (platform vendor)</t>
  </si>
  <si>
    <t xml:space="preserve">Unknown</t>
  </si>
  <si>
    <t xml:space="preserve">Northgate's hosting provider is undisclosed. If it is AWS, Aldridge has a shared dependency it cannot see, on top of its own 100% AWS position (risk R-36). Cannot be assessed until F-01 is delivered.</t>
  </si>
  <si>
    <t xml:space="preserve">Fraud decisioning</t>
  </si>
  <si>
    <t xml:space="preserve">Northgate only</t>
  </si>
  <si>
    <t xml:space="preserve">Single supplier</t>
  </si>
  <si>
    <t xml:space="preserve">No assessed alternative for a synchronous critical-path service. Rules-based fallback covers availability, not capability. Exit plan required under the Tier 1 concentration appetite and does not exist.</t>
  </si>
  <si>
    <t xml:space="preserve">Document generation and e-signature</t>
  </si>
  <si>
    <t xml:space="preserve">Verrio only</t>
  </si>
  <si>
    <t xml:space="preserve">Lower criticality; alternatives exist in a competitive market and switching is feasible within the contracted transition period.</t>
  </si>
  <si>
    <t xml:space="preserve">Customer support and disputes</t>
  </si>
  <si>
    <t xml:space="preserve">Meridian only, two sites</t>
  </si>
  <si>
    <t xml:space="preserve">Single supplier, undisclosed second site</t>
  </si>
  <si>
    <t xml:space="preserve">Both sites sit within the same group, so site failover does not diversify counterparty risk. The Cebu site is outside the Aldridge agreement (F-12).</t>
  </si>
  <si>
    <t xml:space="preserve">Fourth-party layer</t>
  </si>
  <si>
    <t xml:space="preserve">Unmapped across all three</t>
  </si>
  <si>
    <t xml:space="preserve">Aldridge cannot detect shared sub-processors across its Tier 1 estate. This is risk R-41 and it is unmeasurable until subcontractor disclosure is obtained from all Tier 1 and Tier 2 suppliers.</t>
  </si>
  <si>
    <t xml:space="preserve">Two of the five rows read Unknown, and that is the finding. Aldridge cannot measure its own supplier concentration because the fourth-party layer is unmapped. It is possible that all three suppliers sit on the same cloud provider as Aldridge itself, which would mean a single provider event removes the platform, the fraud decisioning, the document generation and the support function simultaneously. That scenario cannot currently be excluded. It is carried as risk R-41 and it is the strongest practical argument for obtaining subcontractor disclosure under finding F-01.</t>
  </si>
  <si>
    <t xml:space="preserve">Jurisdiction and Enforceability</t>
  </si>
  <si>
    <t xml:space="preserve">Added at v2.1. Contractual rights are worth what they can be enforced for, where the supplier actually is.</t>
  </si>
  <si>
    <t xml:space="preserve">ID</t>
  </si>
  <si>
    <t xml:space="preserve">Operating jurisdiction</t>
  </si>
  <si>
    <t xml:space="preserve">Local data protection / labour law</t>
  </si>
  <si>
    <t xml:space="preserve">Governing law and forum</t>
  </si>
  <si>
    <t xml:space="preserve">Practical enforceability</t>
  </si>
  <si>
    <t xml:space="preserve">Exposure</t>
  </si>
  <si>
    <t xml:space="preserve">England and Wales</t>
  </si>
  <si>
    <t xml:space="preserve">UK GDPR; Data Protection Act 2018</t>
  </si>
  <si>
    <t xml:space="preserve">English law, English courts</t>
  </si>
  <si>
    <t xml:space="preserve">Enforceable. Same-jurisdiction as the Aldridge UK entity. Audit rights and injunctive relief are practically exercisable.</t>
  </si>
  <si>
    <t xml:space="preserve">Undisclosed US model-training processing (F-04) creates a transfer with no assessed mechanism. Enforceability of Aldridge rights against the undisclosed US processor is unknown because the processor is unknown.</t>
  </si>
  <si>
    <t xml:space="preserve">Colorado, United States</t>
  </si>
  <si>
    <t xml:space="preserve">Colorado Privacy Act; sectoral federal law</t>
  </si>
  <si>
    <t xml:space="preserve">Colorado law, Denver courts</t>
  </si>
  <si>
    <t xml:space="preserve">Enforceable. Aldridge US entity can pursue remedies directly. No UK nexus, which constrains use by the UK entity.</t>
  </si>
  <si>
    <t xml:space="preserve">None material. No UK processing region limits future UK expansion but creates no present exposure.</t>
  </si>
  <si>
    <t xml:space="preserve">Philippines</t>
  </si>
  <si>
    <t xml:space="preserve">Philippine Data Privacy Act 2012; Philippine labour law</t>
  </si>
  <si>
    <t xml:space="preserve">Philippine law, Manila arbitration</t>
  </si>
  <si>
    <t xml:space="preserve">Materially weaker. Enforcement requires arbitration in Manila. Injunctive relief to stop an ongoing exfiltration would be slow, and practical recovery against the entity is uncertain given the group structure at F-12.</t>
  </si>
  <si>
    <t xml:space="preserve">Philippine labour law constrains the disciplinary and monitoring measures Aldridge can require of Meridian in respect of its own staff. Contractual obligations to screen, monitor and discipline agents are only as good as what Meridian may lawfully do locally, and this was never assessed. Undisclosed Cebu site sits under a separate group entity, so the governing law clause may not reach the entity actually performing the work.</t>
  </si>
  <si>
    <t xml:space="preserve">Version 2.0 assessed all three suppliers as though a contractual obligation were equally enforceable against each. It is not. Meridian holds the weakest technical controls and sits in the jurisdiction where Aldridge's remedies are slowest and least certain, which compounds rather than offsets the position. Separately, contractual obligations requiring a supplier to screen, monitor or discipline its own staff are bounded by what local employment law permits, and that boundary was never assessed. An obligation the supplier cannot lawfully perform is not a control.</t>
  </si>
  <si>
    <t xml:space="preserve">Sanctions and Financial Crime Flow-down</t>
  </si>
  <si>
    <t xml:space="preserve">OFAC liability is strict and does not transfer with the activity. A supplier's failure is Aldridge's exposure.</t>
  </si>
  <si>
    <t xml:space="preserve">Position in the flow</t>
  </si>
  <si>
    <t xml:space="preserve">Data or decision touched</t>
  </si>
  <si>
    <t xml:space="preserve">Current contractual position</t>
  </si>
  <si>
    <t xml:space="preserve">In the synchronous payment authorisation path</t>
  </si>
  <si>
    <t xml:space="preserve">Processes transaction and merchant data at the point of authorisation</t>
  </si>
  <si>
    <t xml:space="preserve">NO OBLIGATION. The agreement contains no requirement to screen, to escalate a possible match, or to preserve records of a rejected or blocked transaction. Northgate's fraud scoring may decline a transaction for fraud reasons that would also have constituted a sanctions concern, and Aldridge would receive no signal distinguishing the two.</t>
  </si>
  <si>
    <t xml:space="preserve">Amend the agreement to require escalation of any indicator suggesting a sanctioned party, preservation of the underlying record, and cooperation with an Aldridge sanctions investigation. Confirm with Legal whether Northgate's decline logic could mask a screening event.</t>
  </si>
  <si>
    <t xml:space="preserve">Holds executed loan agreements and borrower identity data</t>
  </si>
  <si>
    <t xml:space="preserve">No transaction processing</t>
  </si>
  <si>
    <t xml:space="preserve">LIMITED EXPOSURE. Verrio does not make or influence a screening decision. Record preservation and production obligations are present in the current security schedule.</t>
  </si>
  <si>
    <t xml:space="preserve">Confirm at the next reassessment that record production timescales support an OFAC records request.</t>
  </si>
  <si>
    <t xml:space="preserve">Handles disputes and customer correspondence</t>
  </si>
  <si>
    <t xml:space="preserve">Human access to customer identity and account data on escalation</t>
  </si>
  <si>
    <t xml:space="preserve">NO OBLIGATION AND A TIPPING-OFF EXPOSURE. Agents can see account restrictions and blocked transactions without any instruction on what may be said to a customer. An agent explaining to a customer why a payment was blocked could constitute tipping off.</t>
  </si>
  <si>
    <t xml:space="preserve">Issue binding handling instructions on blocked and restricted accounts, covering exactly what an agent may and may not say. Train and test on it. Add a contractual confidentiality obligation covering financial crime matters specifically.</t>
  </si>
  <si>
    <t xml:space="preserve">This analysis was absent from version 2.0 and is the more serious of the two additions. The questionnaire assessed information security thoroughly and asked nothing about sanctions, financial crime or tipping off. Aldridge places a supplier inside its payment authorisation path with no obligation to escalate a sanctions indicator, and places another supplier's agents in front of customers whose accounts are restricted with no instruction on what they may say. OFAC liability is strict and does not transfer with the activity: a screening failure occurring at a supplier is Aldridge's violation. Findings F-17 and F-18 are raised accordingly and should be read alongside risks R-31 and R-09.</t>
  </si>
</sst>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44546A"/>
      <name val="Arial"/>
      <family val="0"/>
      <charset val="1"/>
    </font>
    <font>
      <sz val="10"/>
      <color rgb="FF000000"/>
      <name val="Arial"/>
      <family val="0"/>
      <charset val="1"/>
    </font>
    <font>
      <sz val="10"/>
      <name val="Arial"/>
      <family val="0"/>
      <charset val="1"/>
    </font>
    <font>
      <b val="true"/>
      <sz val="10"/>
      <color rgb="FF1F3864"/>
      <name val="Arial"/>
      <family val="0"/>
      <charset val="1"/>
    </font>
    <font>
      <b val="true"/>
      <sz val="9"/>
      <name val="Arial"/>
      <family val="0"/>
      <charset val="1"/>
    </font>
    <font>
      <sz val="9"/>
      <name val="Arial"/>
      <family val="0"/>
      <charset val="1"/>
    </font>
    <font>
      <b val="true"/>
      <sz val="9"/>
      <color rgb="FFFFFFFF"/>
      <name val="Arial"/>
      <family val="0"/>
      <charset val="1"/>
    </font>
    <font>
      <i val="true"/>
      <sz val="9"/>
      <color rgb="FFFFE599"/>
      <name val="Arial"/>
      <family val="0"/>
      <charset val="1"/>
    </font>
    <font>
      <b val="true"/>
      <sz val="12"/>
      <name val="Arial"/>
      <family val="0"/>
      <charset val="1"/>
    </font>
    <font>
      <b val="true"/>
      <sz val="11"/>
      <color rgb="FF1F3864"/>
      <name val="Arial"/>
      <family val="0"/>
      <charset val="1"/>
    </font>
    <font>
      <b val="true"/>
      <sz val="9"/>
      <color rgb="FF1F3864"/>
      <name val="Arial"/>
      <family val="0"/>
      <charset val="1"/>
    </font>
  </fonts>
  <fills count="11">
    <fill>
      <patternFill patternType="none"/>
    </fill>
    <fill>
      <patternFill patternType="gray125"/>
    </fill>
    <fill>
      <patternFill patternType="solid">
        <fgColor rgb="FFD6DCE8"/>
        <bgColor rgb="FFD9EAD3"/>
      </patternFill>
    </fill>
    <fill>
      <patternFill patternType="solid">
        <fgColor rgb="FF1F3864"/>
        <bgColor rgb="FF333333"/>
      </patternFill>
    </fill>
    <fill>
      <patternFill patternType="solid">
        <fgColor rgb="FF44546A"/>
        <bgColor rgb="FF1F3864"/>
      </patternFill>
    </fill>
    <fill>
      <patternFill patternType="solid">
        <fgColor rgb="FFD9EAD3"/>
        <bgColor rgb="FFE5EFDC"/>
      </patternFill>
    </fill>
    <fill>
      <patternFill patternType="solid">
        <fgColor rgb="FFE5EFDC"/>
        <bgColor rgb="FFD9EAD3"/>
      </patternFill>
    </fill>
    <fill>
      <patternFill patternType="solid">
        <fgColor rgb="FFFCEBA4"/>
        <bgColor rgb="FFFFE599"/>
      </patternFill>
    </fill>
    <fill>
      <patternFill patternType="solid">
        <fgColor rgb="FFE06666"/>
        <bgColor rgb="FFFF6600"/>
      </patternFill>
    </fill>
    <fill>
      <patternFill patternType="solid">
        <fgColor rgb="FFF4B7B7"/>
        <bgColor rgb="FFBFBFBF"/>
      </patternFill>
    </fill>
    <fill>
      <patternFill patternType="solid">
        <fgColor rgb="FFF2F4F8"/>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0" fillId="2" borderId="1" xfId="0" applyFont="fals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7" fontId="13" fillId="2" borderId="1" xfId="0" applyFont="true" applyBorder="true" applyAlignment="true" applyProtection="false">
      <alignment horizontal="center"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E06666"/>
        </patternFill>
      </fill>
    </dxf>
    <dxf>
      <fill>
        <patternFill>
          <bgColor rgb="FFF4B7B7"/>
        </patternFill>
      </fill>
    </dxf>
    <dxf>
      <fill>
        <patternFill>
          <bgColor rgb="FFFCEBA4"/>
        </patternFill>
      </fill>
    </dxf>
    <dxf>
      <fill>
        <patternFill>
          <bgColor rgb="FFD9EAD3"/>
        </patternFill>
      </fill>
    </dxf>
    <dxf>
      <fill>
        <patternFill patternType="solid">
          <fgColor rgb="FF1F3864"/>
          <bgColor rgb="FF000000"/>
        </patternFill>
      </fill>
    </dxf>
    <dxf>
      <fill>
        <patternFill patternType="solid">
          <fgColor rgb="FFF2F4F8"/>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06666"/>
          <bgColor rgb="FF000000"/>
        </patternFill>
      </fill>
    </dxf>
    <dxf>
      <fill>
        <patternFill patternType="solid">
          <fgColor rgb="FFF4B7B7"/>
          <bgColor rgb="FF000000"/>
        </patternFill>
      </fill>
    </dxf>
    <dxf>
      <fill>
        <patternFill patternType="solid">
          <fgColor rgb="FFFCEBA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4F8"/>
      <rgbColor rgb="FFE5EFDC"/>
      <rgbColor rgb="FF660066"/>
      <rgbColor rgb="FFE06666"/>
      <rgbColor rgb="FF0066CC"/>
      <rgbColor rgb="FFD6DCE8"/>
      <rgbColor rgb="FF000080"/>
      <rgbColor rgb="FFFF00FF"/>
      <rgbColor rgb="FFFFFF00"/>
      <rgbColor rgb="FF00FFFF"/>
      <rgbColor rgb="FF800080"/>
      <rgbColor rgb="FF800000"/>
      <rgbColor rgb="FF008080"/>
      <rgbColor rgb="FF0000FF"/>
      <rgbColor rgb="FF00CCFF"/>
      <rgbColor rgb="FFCCFFFF"/>
      <rgbColor rgb="FFD9EAD3"/>
      <rgbColor rgb="FFFCEBA4"/>
      <rgbColor rgb="FF99CCFF"/>
      <rgbColor rgb="FFF4B7B7"/>
      <rgbColor rgb="FFCC99FF"/>
      <rgbColor rgb="FFFFE5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2"/>
  </cols>
  <sheetData>
    <row r="1" customFormat="false" ht="21.7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c r="B4" s="4"/>
    </row>
    <row r="5" customFormat="false" ht="15" hidden="false" customHeight="false" outlineLevel="0" collapsed="false">
      <c r="A5" s="5" t="s">
        <v>2</v>
      </c>
      <c r="B5" s="5"/>
      <c r="C5" s="5"/>
      <c r="D5" s="5"/>
      <c r="E5" s="5"/>
      <c r="F5" s="5"/>
    </row>
    <row r="6" customFormat="false" ht="23.85" hidden="false" customHeight="false" outlineLevel="0" collapsed="false">
      <c r="A6" s="3" t="s">
        <v>3</v>
      </c>
      <c r="B6" s="4" t="s">
        <v>4</v>
      </c>
    </row>
    <row r="7" customFormat="false" ht="15" hidden="false" customHeight="false" outlineLevel="0" collapsed="false">
      <c r="A7" s="3" t="s">
        <v>5</v>
      </c>
      <c r="B7" s="4" t="s">
        <v>6</v>
      </c>
    </row>
    <row r="8" customFormat="false" ht="23.85" hidden="false" customHeight="false" outlineLevel="0" collapsed="false">
      <c r="A8" s="3" t="s">
        <v>7</v>
      </c>
      <c r="B8" s="4" t="s">
        <v>8</v>
      </c>
    </row>
    <row r="9" customFormat="false" ht="15" hidden="false" customHeight="false" outlineLevel="0" collapsed="false">
      <c r="A9" s="3" t="s">
        <v>9</v>
      </c>
      <c r="B9" s="4" t="s">
        <v>10</v>
      </c>
    </row>
    <row r="10" customFormat="false" ht="15" hidden="false" customHeight="false" outlineLevel="0" collapsed="false">
      <c r="A10" s="3" t="s">
        <v>11</v>
      </c>
      <c r="B10" s="4" t="s">
        <v>12</v>
      </c>
    </row>
    <row r="11" customFormat="false" ht="23.85" hidden="false" customHeight="false" outlineLevel="0" collapsed="false">
      <c r="A11" s="3" t="s">
        <v>13</v>
      </c>
      <c r="B11" s="4" t="s">
        <v>14</v>
      </c>
    </row>
    <row r="12" customFormat="false" ht="23.85" hidden="false" customHeight="false" outlineLevel="0" collapsed="false">
      <c r="A12" s="3" t="s">
        <v>15</v>
      </c>
      <c r="B12" s="4" t="s">
        <v>16</v>
      </c>
    </row>
    <row r="13" customFormat="false" ht="15" hidden="false" customHeight="false" outlineLevel="0" collapsed="false">
      <c r="A13" s="3"/>
      <c r="B13" s="4"/>
    </row>
    <row r="14" customFormat="false" ht="15" hidden="false" customHeight="false" outlineLevel="0" collapsed="false">
      <c r="A14" s="5" t="s">
        <v>17</v>
      </c>
      <c r="B14" s="5"/>
      <c r="C14" s="5"/>
      <c r="D14" s="5"/>
      <c r="E14" s="5"/>
      <c r="F14" s="5"/>
    </row>
    <row r="15" customFormat="false" ht="46.25" hidden="false" customHeight="false" outlineLevel="0" collapsed="false">
      <c r="A15" s="3"/>
      <c r="B15" s="4" t="s">
        <v>18</v>
      </c>
    </row>
    <row r="16" customFormat="false" ht="15" hidden="false" customHeight="false" outlineLevel="0" collapsed="false">
      <c r="A16" s="3"/>
      <c r="B16" s="4"/>
    </row>
    <row r="17" customFormat="false" ht="15" hidden="false" customHeight="false" outlineLevel="0" collapsed="false">
      <c r="A17" s="5" t="s">
        <v>19</v>
      </c>
      <c r="B17" s="5"/>
      <c r="C17" s="5"/>
      <c r="D17" s="5"/>
      <c r="E17" s="5"/>
      <c r="F17" s="5"/>
    </row>
    <row r="18" customFormat="false" ht="23.85" hidden="false" customHeight="false" outlineLevel="0" collapsed="false">
      <c r="A18" s="3"/>
      <c r="B18" s="4" t="s">
        <v>20</v>
      </c>
    </row>
    <row r="19" customFormat="false" ht="46.25" hidden="false" customHeight="false" outlineLevel="0" collapsed="false">
      <c r="A19" s="3"/>
      <c r="B19" s="4" t="s">
        <v>21</v>
      </c>
    </row>
    <row r="20" customFormat="false" ht="23.85" hidden="false" customHeight="false" outlineLevel="0" collapsed="false">
      <c r="A20" s="3"/>
      <c r="B20" s="4" t="s">
        <v>22</v>
      </c>
    </row>
    <row r="21" customFormat="false" ht="15" hidden="false" customHeight="false" outlineLevel="0" collapsed="false">
      <c r="A21" s="3"/>
      <c r="B21" s="4"/>
    </row>
    <row r="22" customFormat="false" ht="15" hidden="false" customHeight="false" outlineLevel="0" collapsed="false">
      <c r="A22" s="5" t="s">
        <v>23</v>
      </c>
      <c r="B22" s="5"/>
      <c r="C22" s="5"/>
      <c r="D22" s="5"/>
      <c r="E22" s="5"/>
      <c r="F22" s="5"/>
    </row>
    <row r="23" customFormat="false" ht="35.05" hidden="false" customHeight="false" outlineLevel="0" collapsed="false">
      <c r="A23" s="3"/>
      <c r="B23" s="4" t="s">
        <v>24</v>
      </c>
    </row>
    <row r="24" customFormat="false" ht="15" hidden="false" customHeight="false" outlineLevel="0" collapsed="false">
      <c r="A24" s="3" t="s">
        <v>25</v>
      </c>
      <c r="B24" s="4" t="s">
        <v>26</v>
      </c>
    </row>
    <row r="25" customFormat="false" ht="15" hidden="false" customHeight="false" outlineLevel="0" collapsed="false">
      <c r="A25" s="3" t="s">
        <v>27</v>
      </c>
      <c r="B25" s="4" t="s">
        <v>28</v>
      </c>
    </row>
    <row r="26" customFormat="false" ht="15" hidden="false" customHeight="false" outlineLevel="0" collapsed="false">
      <c r="A26" s="3" t="s">
        <v>29</v>
      </c>
      <c r="B26" s="4" t="s">
        <v>30</v>
      </c>
    </row>
    <row r="27" customFormat="false" ht="15" hidden="false" customHeight="false" outlineLevel="0" collapsed="false">
      <c r="A27" s="3" t="s">
        <v>31</v>
      </c>
      <c r="B27" s="4" t="s">
        <v>32</v>
      </c>
    </row>
    <row r="28" customFormat="false" ht="15" hidden="false" customHeight="false" outlineLevel="0" collapsed="false">
      <c r="A28" s="3" t="s">
        <v>33</v>
      </c>
      <c r="B28" s="4" t="s">
        <v>34</v>
      </c>
    </row>
    <row r="29" customFormat="false" ht="15" hidden="false" customHeight="false" outlineLevel="0" collapsed="false">
      <c r="A29" s="3"/>
      <c r="B29" s="4"/>
    </row>
    <row r="30" customFormat="false" ht="15" hidden="false" customHeight="false" outlineLevel="0" collapsed="false">
      <c r="A30" s="5" t="s">
        <v>35</v>
      </c>
      <c r="B30" s="5"/>
      <c r="C30" s="5"/>
      <c r="D30" s="5"/>
      <c r="E30" s="5"/>
      <c r="F30" s="5"/>
    </row>
    <row r="31" customFormat="false" ht="15" hidden="false" customHeight="false" outlineLevel="0" collapsed="false">
      <c r="A31" s="3" t="s">
        <v>36</v>
      </c>
      <c r="B31" s="4" t="s">
        <v>37</v>
      </c>
    </row>
    <row r="32" customFormat="false" ht="15" hidden="false" customHeight="false" outlineLevel="0" collapsed="false">
      <c r="A32" s="3" t="s">
        <v>38</v>
      </c>
      <c r="B32" s="4" t="s">
        <v>39</v>
      </c>
    </row>
    <row r="33" customFormat="false" ht="15" hidden="false" customHeight="false" outlineLevel="0" collapsed="false">
      <c r="A33" s="3" t="s">
        <v>40</v>
      </c>
      <c r="B33" s="4" t="s">
        <v>41</v>
      </c>
    </row>
    <row r="34" customFormat="false" ht="15" hidden="false" customHeight="false" outlineLevel="0" collapsed="false">
      <c r="A34" s="3" t="s">
        <v>42</v>
      </c>
      <c r="B34" s="4" t="s">
        <v>43</v>
      </c>
    </row>
    <row r="35" customFormat="false" ht="15" hidden="false" customHeight="false" outlineLevel="0" collapsed="false">
      <c r="A35" s="3"/>
      <c r="B35" s="4"/>
    </row>
    <row r="36" customFormat="false" ht="15" hidden="false" customHeight="false" outlineLevel="0" collapsed="false">
      <c r="A36" s="5" t="s">
        <v>44</v>
      </c>
      <c r="B36" s="5"/>
      <c r="C36" s="5"/>
      <c r="D36" s="5"/>
      <c r="E36" s="5"/>
      <c r="F36" s="5"/>
    </row>
    <row r="37" customFormat="false" ht="35.05" hidden="false" customHeight="false" outlineLevel="0" collapsed="false">
      <c r="A37" s="3"/>
      <c r="B37" s="4" t="s">
        <v>45</v>
      </c>
    </row>
    <row r="38" customFormat="false" ht="15" hidden="false" customHeight="false" outlineLevel="0" collapsed="false">
      <c r="A38" s="3"/>
      <c r="B38" s="4"/>
    </row>
    <row r="39" customFormat="false" ht="15" hidden="false" customHeight="false" outlineLevel="0" collapsed="false">
      <c r="A39" s="5" t="s">
        <v>46</v>
      </c>
      <c r="B39" s="5"/>
      <c r="C39" s="5"/>
      <c r="D39" s="5"/>
      <c r="E39" s="5"/>
      <c r="F39" s="5"/>
    </row>
    <row r="40" customFormat="false" ht="46.25" hidden="false" customHeight="false" outlineLevel="0" collapsed="false">
      <c r="A40" s="3"/>
      <c r="B40" s="4" t="s">
        <v>47</v>
      </c>
    </row>
  </sheetData>
  <mergeCells count="9">
    <mergeCell ref="A1:F1"/>
    <mergeCell ref="A2:F2"/>
    <mergeCell ref="A5:F5"/>
    <mergeCell ref="A14:F14"/>
    <mergeCell ref="A17:F17"/>
    <mergeCell ref="A22:F22"/>
    <mergeCell ref="A30:F30"/>
    <mergeCell ref="A36:F36"/>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46"/>
  </cols>
  <sheetData>
    <row r="1" customFormat="false" ht="21.75" hidden="false" customHeight="true" outlineLevel="0" collapsed="false">
      <c r="A1" s="1" t="s">
        <v>48</v>
      </c>
      <c r="B1" s="1"/>
      <c r="C1" s="1"/>
      <c r="D1" s="1"/>
    </row>
    <row r="2" customFormat="false" ht="15" hidden="false" customHeight="false" outlineLevel="0" collapsed="false">
      <c r="A2" s="2" t="s">
        <v>49</v>
      </c>
      <c r="B2" s="2"/>
      <c r="C2" s="2"/>
      <c r="D2" s="2"/>
    </row>
    <row r="4" customFormat="false" ht="15" hidden="false" customHeight="false" outlineLevel="0" collapsed="false">
      <c r="A4" s="6" t="s">
        <v>50</v>
      </c>
      <c r="B4" s="7" t="s">
        <v>51</v>
      </c>
      <c r="C4" s="7" t="s">
        <v>52</v>
      </c>
      <c r="D4" s="7" t="s">
        <v>53</v>
      </c>
    </row>
    <row r="5" customFormat="false" ht="15" hidden="false" customHeight="false" outlineLevel="0" collapsed="false">
      <c r="A5" s="6" t="s">
        <v>54</v>
      </c>
      <c r="B5" s="7" t="s">
        <v>55</v>
      </c>
      <c r="C5" s="7" t="s">
        <v>56</v>
      </c>
      <c r="D5" s="7" t="s">
        <v>57</v>
      </c>
    </row>
    <row r="6" customFormat="false" ht="15" hidden="false" customHeight="false" outlineLevel="0" collapsed="false">
      <c r="A6" s="6" t="s">
        <v>58</v>
      </c>
      <c r="B6" s="7" t="s">
        <v>59</v>
      </c>
      <c r="C6" s="7" t="s">
        <v>60</v>
      </c>
      <c r="D6" s="7" t="s">
        <v>61</v>
      </c>
    </row>
    <row r="7" customFormat="false" ht="22.35" hidden="false" customHeight="false" outlineLevel="0" collapsed="false">
      <c r="A7" s="6" t="s">
        <v>62</v>
      </c>
      <c r="B7" s="7" t="s">
        <v>63</v>
      </c>
      <c r="C7" s="7" t="s">
        <v>64</v>
      </c>
      <c r="D7" s="7" t="s">
        <v>65</v>
      </c>
    </row>
    <row r="8" customFormat="false" ht="22.35" hidden="false" customHeight="false" outlineLevel="0" collapsed="false">
      <c r="A8" s="6" t="s">
        <v>66</v>
      </c>
      <c r="B8" s="7" t="s">
        <v>67</v>
      </c>
      <c r="C8" s="7" t="s">
        <v>68</v>
      </c>
      <c r="D8" s="7" t="s">
        <v>69</v>
      </c>
    </row>
    <row r="9" customFormat="false" ht="15" hidden="false" customHeight="false" outlineLevel="0" collapsed="false">
      <c r="A9" s="6" t="s">
        <v>70</v>
      </c>
      <c r="B9" s="7" t="s">
        <v>71</v>
      </c>
      <c r="C9" s="7" t="s">
        <v>71</v>
      </c>
      <c r="D9" s="7" t="s">
        <v>72</v>
      </c>
    </row>
    <row r="10" customFormat="false" ht="15" hidden="false" customHeight="false" outlineLevel="0" collapsed="false">
      <c r="A10" s="6" t="s">
        <v>73</v>
      </c>
      <c r="B10" s="7" t="s">
        <v>74</v>
      </c>
      <c r="C10" s="7" t="s">
        <v>75</v>
      </c>
      <c r="D10" s="7" t="s">
        <v>75</v>
      </c>
    </row>
    <row r="11" customFormat="false" ht="15" hidden="false" customHeight="false" outlineLevel="0" collapsed="false">
      <c r="A11" s="6" t="s">
        <v>76</v>
      </c>
      <c r="B11" s="7" t="s">
        <v>77</v>
      </c>
      <c r="C11" s="7" t="s">
        <v>78</v>
      </c>
      <c r="D11" s="7" t="s">
        <v>79</v>
      </c>
    </row>
    <row r="12" customFormat="false" ht="22.35" hidden="false" customHeight="false" outlineLevel="0" collapsed="false">
      <c r="A12" s="6" t="s">
        <v>80</v>
      </c>
      <c r="B12" s="7" t="s">
        <v>81</v>
      </c>
      <c r="C12" s="7" t="s">
        <v>82</v>
      </c>
      <c r="D12" s="7" t="s">
        <v>83</v>
      </c>
    </row>
    <row r="13" customFormat="false" ht="22.35" hidden="false" customHeight="false" outlineLevel="0" collapsed="false">
      <c r="A13" s="6" t="s">
        <v>84</v>
      </c>
      <c r="B13" s="7" t="s">
        <v>85</v>
      </c>
      <c r="C13" s="7" t="s">
        <v>86</v>
      </c>
      <c r="D13" s="7" t="s">
        <v>87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56"/>
    <col collapsed="false" customWidth="true" hidden="false" outlineLevel="0" max="4" min="4" style="0" width="40"/>
    <col collapsed="false" customWidth="true" hidden="false" outlineLevel="0" max="5" min="5" style="0" width="9"/>
    <col collapsed="false" customWidth="true" hidden="false" outlineLevel="0" max="6" min="6" style="0" width="62"/>
    <col collapsed="false" customWidth="true" hidden="false" outlineLevel="0" max="7" min="7" style="0" width="9"/>
    <col collapsed="false" customWidth="true" hidden="false" outlineLevel="0" max="8" min="8" style="0" width="62"/>
    <col collapsed="false" customWidth="true" hidden="false" outlineLevel="0" max="9" min="9" style="0" width="9"/>
    <col collapsed="false" customWidth="true" hidden="false" outlineLevel="0" max="10" min="10" style="0" width="62"/>
  </cols>
  <sheetData>
    <row r="1" customFormat="false" ht="21.75" hidden="false" customHeight="true" outlineLevel="0" collapsed="false">
      <c r="A1" s="1" t="s">
        <v>88</v>
      </c>
      <c r="B1" s="1"/>
      <c r="C1" s="1"/>
      <c r="D1" s="1"/>
      <c r="E1" s="1"/>
      <c r="F1" s="1"/>
      <c r="G1" s="1"/>
      <c r="H1" s="1"/>
      <c r="I1" s="1"/>
      <c r="J1" s="1"/>
    </row>
    <row r="2" customFormat="false" ht="15" hidden="false" customHeight="false" outlineLevel="0" collapsed="false">
      <c r="A2" s="2" t="s">
        <v>89</v>
      </c>
      <c r="B2" s="2"/>
      <c r="C2" s="2"/>
      <c r="D2" s="2"/>
      <c r="E2" s="2"/>
      <c r="F2" s="2"/>
      <c r="G2" s="2"/>
      <c r="H2" s="2"/>
      <c r="I2" s="2"/>
      <c r="J2" s="2"/>
    </row>
    <row r="3" customFormat="false" ht="39.75" hidden="false" customHeight="true" outlineLevel="0" collapsed="false">
      <c r="A3" s="8" t="s">
        <v>90</v>
      </c>
      <c r="B3" s="8" t="s">
        <v>91</v>
      </c>
      <c r="C3" s="8" t="s">
        <v>92</v>
      </c>
      <c r="D3" s="8" t="s">
        <v>93</v>
      </c>
      <c r="E3" s="8" t="s">
        <v>94</v>
      </c>
      <c r="F3" s="8" t="s">
        <v>95</v>
      </c>
      <c r="G3" s="8" t="s">
        <v>96</v>
      </c>
      <c r="H3" s="8" t="s">
        <v>97</v>
      </c>
      <c r="I3" s="8" t="s">
        <v>98</v>
      </c>
      <c r="J3" s="8" t="s">
        <v>99</v>
      </c>
    </row>
    <row r="4" customFormat="false" ht="15" hidden="false" customHeight="false" outlineLevel="0" collapsed="false">
      <c r="A4" s="9" t="s">
        <v>100</v>
      </c>
      <c r="B4" s="9"/>
      <c r="C4" s="10"/>
      <c r="D4" s="10"/>
      <c r="E4" s="10"/>
      <c r="F4" s="10"/>
      <c r="G4" s="10"/>
      <c r="H4" s="10"/>
      <c r="I4" s="10"/>
      <c r="J4" s="10"/>
    </row>
    <row r="5" customFormat="false" ht="22.35" hidden="false" customHeight="false" outlineLevel="0" collapsed="false">
      <c r="A5" s="7" t="s">
        <v>101</v>
      </c>
      <c r="B5" s="11" t="s">
        <v>102</v>
      </c>
      <c r="C5" s="7" t="s">
        <v>103</v>
      </c>
      <c r="D5" s="7" t="s">
        <v>104</v>
      </c>
      <c r="E5" s="12" t="n">
        <v>4</v>
      </c>
      <c r="F5" s="7" t="s">
        <v>105</v>
      </c>
      <c r="G5" s="12" t="n">
        <v>4</v>
      </c>
      <c r="H5" s="7" t="s">
        <v>106</v>
      </c>
      <c r="I5" s="13" t="n">
        <v>3</v>
      </c>
      <c r="J5" s="7" t="s">
        <v>107</v>
      </c>
    </row>
    <row r="6" customFormat="false" ht="22.35" hidden="false" customHeight="false" outlineLevel="0" collapsed="false">
      <c r="A6" s="7" t="s">
        <v>101</v>
      </c>
      <c r="B6" s="11" t="s">
        <v>108</v>
      </c>
      <c r="C6" s="7" t="s">
        <v>109</v>
      </c>
      <c r="D6" s="7" t="s">
        <v>110</v>
      </c>
      <c r="E6" s="12" t="n">
        <v>4</v>
      </c>
      <c r="F6" s="7" t="s">
        <v>111</v>
      </c>
      <c r="G6" s="12" t="n">
        <v>4</v>
      </c>
      <c r="H6" s="7" t="s">
        <v>112</v>
      </c>
      <c r="I6" s="14" t="n">
        <v>2</v>
      </c>
      <c r="J6" s="7" t="s">
        <v>113</v>
      </c>
    </row>
    <row r="7" customFormat="false" ht="22.35" hidden="false" customHeight="false" outlineLevel="0" collapsed="false">
      <c r="A7" s="7" t="s">
        <v>101</v>
      </c>
      <c r="B7" s="11" t="s">
        <v>114</v>
      </c>
      <c r="C7" s="7" t="s">
        <v>115</v>
      </c>
      <c r="D7" s="7" t="s">
        <v>116</v>
      </c>
      <c r="E7" s="12" t="n">
        <v>4</v>
      </c>
      <c r="F7" s="7" t="s">
        <v>117</v>
      </c>
      <c r="G7" s="12" t="n">
        <v>4</v>
      </c>
      <c r="H7" s="7" t="s">
        <v>118</v>
      </c>
      <c r="I7" s="14" t="n">
        <v>2</v>
      </c>
      <c r="J7" s="7" t="s">
        <v>119</v>
      </c>
    </row>
    <row r="8" customFormat="false" ht="22.35" hidden="false" customHeight="false" outlineLevel="0" collapsed="false">
      <c r="A8" s="7" t="s">
        <v>101</v>
      </c>
      <c r="B8" s="11" t="s">
        <v>120</v>
      </c>
      <c r="C8" s="7" t="s">
        <v>121</v>
      </c>
      <c r="D8" s="7" t="s">
        <v>122</v>
      </c>
      <c r="E8" s="13" t="n">
        <v>3</v>
      </c>
      <c r="F8" s="7" t="s">
        <v>123</v>
      </c>
      <c r="G8" s="12" t="n">
        <v>4</v>
      </c>
      <c r="H8" s="7" t="s">
        <v>124</v>
      </c>
      <c r="I8" s="14" t="n">
        <v>2</v>
      </c>
      <c r="J8" s="7" t="s">
        <v>125</v>
      </c>
    </row>
    <row r="9" customFormat="false" ht="32.8" hidden="false" customHeight="false" outlineLevel="0" collapsed="false">
      <c r="A9" s="7" t="s">
        <v>101</v>
      </c>
      <c r="B9" s="11" t="s">
        <v>126</v>
      </c>
      <c r="C9" s="7" t="s">
        <v>127</v>
      </c>
      <c r="D9" s="7" t="s">
        <v>128</v>
      </c>
      <c r="E9" s="13" t="n">
        <v>3</v>
      </c>
      <c r="F9" s="7" t="s">
        <v>129</v>
      </c>
      <c r="G9" s="13" t="n">
        <v>3</v>
      </c>
      <c r="H9" s="7" t="s">
        <v>130</v>
      </c>
      <c r="I9" s="14" t="n">
        <v>2</v>
      </c>
      <c r="J9" s="7" t="s">
        <v>131</v>
      </c>
    </row>
    <row r="10" customFormat="false" ht="15" hidden="false" customHeight="false" outlineLevel="0" collapsed="false">
      <c r="A10" s="9" t="s">
        <v>132</v>
      </c>
      <c r="B10" s="9"/>
      <c r="C10" s="15" t="s">
        <v>133</v>
      </c>
      <c r="D10" s="10"/>
      <c r="E10" s="10"/>
      <c r="F10" s="10"/>
      <c r="G10" s="10"/>
      <c r="H10" s="10"/>
      <c r="I10" s="10"/>
      <c r="J10" s="10"/>
    </row>
    <row r="11" customFormat="false" ht="43.25" hidden="false" customHeight="false" outlineLevel="0" collapsed="false">
      <c r="A11" s="7" t="s">
        <v>134</v>
      </c>
      <c r="B11" s="11" t="s">
        <v>135</v>
      </c>
      <c r="C11" s="7" t="s">
        <v>136</v>
      </c>
      <c r="D11" s="7" t="s">
        <v>137</v>
      </c>
      <c r="E11" s="12" t="n">
        <v>4</v>
      </c>
      <c r="F11" s="7" t="s">
        <v>138</v>
      </c>
      <c r="G11" s="12" t="n">
        <v>4</v>
      </c>
      <c r="H11" s="7" t="s">
        <v>139</v>
      </c>
      <c r="I11" s="16" t="n">
        <v>0</v>
      </c>
      <c r="J11" s="7" t="s">
        <v>140</v>
      </c>
    </row>
    <row r="12" customFormat="false" ht="22.35" hidden="false" customHeight="false" outlineLevel="0" collapsed="false">
      <c r="A12" s="7" t="s">
        <v>134</v>
      </c>
      <c r="B12" s="11" t="s">
        <v>141</v>
      </c>
      <c r="C12" s="7" t="s">
        <v>142</v>
      </c>
      <c r="D12" s="7" t="s">
        <v>143</v>
      </c>
      <c r="E12" s="12" t="n">
        <v>4</v>
      </c>
      <c r="F12" s="7" t="s">
        <v>144</v>
      </c>
      <c r="G12" s="12" t="n">
        <v>4</v>
      </c>
      <c r="H12" s="7" t="s">
        <v>145</v>
      </c>
      <c r="I12" s="14" t="n">
        <v>2</v>
      </c>
      <c r="J12" s="7" t="s">
        <v>146</v>
      </c>
    </row>
    <row r="13" customFormat="false" ht="22.35" hidden="false" customHeight="false" outlineLevel="0" collapsed="false">
      <c r="A13" s="7" t="s">
        <v>134</v>
      </c>
      <c r="B13" s="11" t="s">
        <v>147</v>
      </c>
      <c r="C13" s="7" t="s">
        <v>148</v>
      </c>
      <c r="D13" s="7" t="s">
        <v>149</v>
      </c>
      <c r="E13" s="13" t="n">
        <v>3</v>
      </c>
      <c r="F13" s="7" t="s">
        <v>150</v>
      </c>
      <c r="G13" s="12" t="n">
        <v>4</v>
      </c>
      <c r="H13" s="7" t="s">
        <v>151</v>
      </c>
      <c r="I13" s="14" t="n">
        <v>2</v>
      </c>
      <c r="J13" s="7" t="s">
        <v>152</v>
      </c>
    </row>
    <row r="14" customFormat="false" ht="22.35" hidden="false" customHeight="false" outlineLevel="0" collapsed="false">
      <c r="A14" s="7" t="s">
        <v>134</v>
      </c>
      <c r="B14" s="11" t="s">
        <v>153</v>
      </c>
      <c r="C14" s="7" t="s">
        <v>154</v>
      </c>
      <c r="D14" s="7" t="s">
        <v>155</v>
      </c>
      <c r="E14" s="13" t="n">
        <v>3</v>
      </c>
      <c r="F14" s="7" t="s">
        <v>156</v>
      </c>
      <c r="G14" s="12" t="n">
        <v>4</v>
      </c>
      <c r="H14" s="7" t="s">
        <v>157</v>
      </c>
      <c r="I14" s="14" t="n">
        <v>2</v>
      </c>
      <c r="J14" s="7" t="s">
        <v>158</v>
      </c>
    </row>
    <row r="15" customFormat="false" ht="22.35" hidden="false" customHeight="false" outlineLevel="0" collapsed="false">
      <c r="A15" s="7" t="s">
        <v>134</v>
      </c>
      <c r="B15" s="11" t="s">
        <v>159</v>
      </c>
      <c r="C15" s="7" t="s">
        <v>160</v>
      </c>
      <c r="D15" s="7" t="s">
        <v>161</v>
      </c>
      <c r="E15" s="13" t="n">
        <v>3</v>
      </c>
      <c r="F15" s="7" t="s">
        <v>162</v>
      </c>
      <c r="G15" s="13" t="n">
        <v>3</v>
      </c>
      <c r="H15" s="7" t="s">
        <v>163</v>
      </c>
      <c r="I15" s="14" t="n">
        <v>2</v>
      </c>
      <c r="J15" s="7" t="s">
        <v>164</v>
      </c>
    </row>
    <row r="16" customFormat="false" ht="15" hidden="false" customHeight="false" outlineLevel="0" collapsed="false">
      <c r="A16" s="9" t="s">
        <v>165</v>
      </c>
      <c r="B16" s="9"/>
      <c r="C16" s="15" t="s">
        <v>166</v>
      </c>
      <c r="D16" s="10"/>
      <c r="E16" s="10"/>
      <c r="F16" s="10"/>
      <c r="G16" s="10"/>
      <c r="H16" s="10"/>
      <c r="I16" s="10"/>
      <c r="J16" s="10"/>
    </row>
    <row r="17" customFormat="false" ht="22.35" hidden="false" customHeight="false" outlineLevel="0" collapsed="false">
      <c r="A17" s="7" t="s">
        <v>167</v>
      </c>
      <c r="B17" s="11" t="s">
        <v>168</v>
      </c>
      <c r="C17" s="7" t="s">
        <v>169</v>
      </c>
      <c r="D17" s="7" t="s">
        <v>170</v>
      </c>
      <c r="E17" s="12" t="n">
        <v>4</v>
      </c>
      <c r="F17" s="7" t="s">
        <v>171</v>
      </c>
      <c r="G17" s="12" t="n">
        <v>4</v>
      </c>
      <c r="H17" s="7" t="s">
        <v>172</v>
      </c>
      <c r="I17" s="14" t="n">
        <v>2</v>
      </c>
      <c r="J17" s="7" t="s">
        <v>173</v>
      </c>
    </row>
    <row r="18" customFormat="false" ht="22.35" hidden="false" customHeight="false" outlineLevel="0" collapsed="false">
      <c r="A18" s="7" t="s">
        <v>167</v>
      </c>
      <c r="B18" s="11" t="s">
        <v>174</v>
      </c>
      <c r="C18" s="7" t="s">
        <v>175</v>
      </c>
      <c r="D18" s="7" t="s">
        <v>176</v>
      </c>
      <c r="E18" s="12" t="n">
        <v>4</v>
      </c>
      <c r="F18" s="7" t="s">
        <v>177</v>
      </c>
      <c r="G18" s="12" t="n">
        <v>4</v>
      </c>
      <c r="H18" s="7" t="s">
        <v>178</v>
      </c>
      <c r="I18" s="13" t="n">
        <v>3</v>
      </c>
      <c r="J18" s="7" t="s">
        <v>179</v>
      </c>
    </row>
    <row r="19" customFormat="false" ht="32.8" hidden="false" customHeight="false" outlineLevel="0" collapsed="false">
      <c r="A19" s="7" t="s">
        <v>167</v>
      </c>
      <c r="B19" s="11" t="s">
        <v>180</v>
      </c>
      <c r="C19" s="7" t="s">
        <v>181</v>
      </c>
      <c r="D19" s="7" t="s">
        <v>182</v>
      </c>
      <c r="E19" s="13" t="n">
        <v>3</v>
      </c>
      <c r="F19" s="7" t="s">
        <v>183</v>
      </c>
      <c r="G19" s="12" t="n">
        <v>4</v>
      </c>
      <c r="H19" s="7" t="s">
        <v>184</v>
      </c>
      <c r="I19" s="14" t="n">
        <v>2</v>
      </c>
      <c r="J19" s="7" t="s">
        <v>185</v>
      </c>
    </row>
    <row r="20" customFormat="false" ht="22.35" hidden="false" customHeight="false" outlineLevel="0" collapsed="false">
      <c r="A20" s="7" t="s">
        <v>167</v>
      </c>
      <c r="B20" s="11" t="s">
        <v>186</v>
      </c>
      <c r="C20" s="7" t="s">
        <v>187</v>
      </c>
      <c r="D20" s="7" t="s">
        <v>188</v>
      </c>
      <c r="E20" s="13" t="n">
        <v>3</v>
      </c>
      <c r="F20" s="7" t="s">
        <v>189</v>
      </c>
      <c r="G20" s="12" t="n">
        <v>4</v>
      </c>
      <c r="H20" s="7" t="s">
        <v>190</v>
      </c>
      <c r="I20" s="14" t="n">
        <v>2</v>
      </c>
      <c r="J20" s="7" t="s">
        <v>191</v>
      </c>
    </row>
    <row r="21" customFormat="false" ht="32.8" hidden="false" customHeight="false" outlineLevel="0" collapsed="false">
      <c r="A21" s="7" t="s">
        <v>167</v>
      </c>
      <c r="B21" s="11" t="s">
        <v>192</v>
      </c>
      <c r="C21" s="7" t="s">
        <v>193</v>
      </c>
      <c r="D21" s="7" t="s">
        <v>194</v>
      </c>
      <c r="E21" s="13" t="n">
        <v>3</v>
      </c>
      <c r="F21" s="7" t="s">
        <v>195</v>
      </c>
      <c r="G21" s="13" t="n">
        <v>3</v>
      </c>
      <c r="H21" s="7" t="s">
        <v>196</v>
      </c>
      <c r="I21" s="14" t="n">
        <v>2</v>
      </c>
      <c r="J21" s="7" t="s">
        <v>197</v>
      </c>
    </row>
    <row r="22" customFormat="false" ht="15" hidden="false" customHeight="false" outlineLevel="0" collapsed="false">
      <c r="A22" s="9" t="s">
        <v>198</v>
      </c>
      <c r="B22" s="9"/>
      <c r="C22" s="10"/>
      <c r="D22" s="10"/>
      <c r="E22" s="10"/>
      <c r="F22" s="10"/>
      <c r="G22" s="10"/>
      <c r="H22" s="10"/>
      <c r="I22" s="10"/>
      <c r="J22" s="10"/>
    </row>
    <row r="23" customFormat="false" ht="22.35" hidden="false" customHeight="false" outlineLevel="0" collapsed="false">
      <c r="A23" s="7" t="s">
        <v>199</v>
      </c>
      <c r="B23" s="11" t="s">
        <v>200</v>
      </c>
      <c r="C23" s="7" t="s">
        <v>201</v>
      </c>
      <c r="D23" s="7" t="s">
        <v>202</v>
      </c>
      <c r="E23" s="12" t="n">
        <v>4</v>
      </c>
      <c r="F23" s="7" t="s">
        <v>203</v>
      </c>
      <c r="G23" s="12" t="n">
        <v>4</v>
      </c>
      <c r="H23" s="7" t="s">
        <v>204</v>
      </c>
      <c r="I23" s="13" t="n">
        <v>3</v>
      </c>
      <c r="J23" s="7" t="s">
        <v>205</v>
      </c>
    </row>
    <row r="24" customFormat="false" ht="22.35" hidden="false" customHeight="false" outlineLevel="0" collapsed="false">
      <c r="A24" s="7" t="s">
        <v>199</v>
      </c>
      <c r="B24" s="11" t="s">
        <v>206</v>
      </c>
      <c r="C24" s="7" t="s">
        <v>207</v>
      </c>
      <c r="D24" s="7" t="s">
        <v>208</v>
      </c>
      <c r="E24" s="13" t="n">
        <v>3</v>
      </c>
      <c r="F24" s="7" t="s">
        <v>209</v>
      </c>
      <c r="G24" s="12" t="n">
        <v>4</v>
      </c>
      <c r="H24" s="7" t="s">
        <v>210</v>
      </c>
      <c r="I24" s="13" t="n">
        <v>3</v>
      </c>
      <c r="J24" s="7" t="s">
        <v>211</v>
      </c>
    </row>
    <row r="25" customFormat="false" ht="22.35" hidden="false" customHeight="false" outlineLevel="0" collapsed="false">
      <c r="A25" s="7" t="s">
        <v>199</v>
      </c>
      <c r="B25" s="11" t="s">
        <v>212</v>
      </c>
      <c r="C25" s="7" t="s">
        <v>213</v>
      </c>
      <c r="D25" s="7" t="s">
        <v>214</v>
      </c>
      <c r="E25" s="13" t="n">
        <v>3</v>
      </c>
      <c r="F25" s="7" t="s">
        <v>215</v>
      </c>
      <c r="G25" s="12" t="n">
        <v>4</v>
      </c>
      <c r="H25" s="7" t="s">
        <v>216</v>
      </c>
      <c r="I25" s="14" t="n">
        <v>2</v>
      </c>
      <c r="J25" s="7" t="s">
        <v>217</v>
      </c>
    </row>
    <row r="26" customFormat="false" ht="22.35" hidden="false" customHeight="false" outlineLevel="0" collapsed="false">
      <c r="A26" s="7" t="s">
        <v>199</v>
      </c>
      <c r="B26" s="11" t="s">
        <v>218</v>
      </c>
      <c r="C26" s="7" t="s">
        <v>219</v>
      </c>
      <c r="D26" s="7" t="s">
        <v>220</v>
      </c>
      <c r="E26" s="13" t="n">
        <v>3</v>
      </c>
      <c r="F26" s="7" t="s">
        <v>221</v>
      </c>
      <c r="G26" s="13" t="n">
        <v>3</v>
      </c>
      <c r="H26" s="7" t="s">
        <v>222</v>
      </c>
      <c r="I26" s="14" t="n">
        <v>2</v>
      </c>
      <c r="J26" s="7" t="s">
        <v>223</v>
      </c>
    </row>
    <row r="27" customFormat="false" ht="15" hidden="false" customHeight="false" outlineLevel="0" collapsed="false">
      <c r="A27" s="7" t="s">
        <v>199</v>
      </c>
      <c r="B27" s="11" t="s">
        <v>224</v>
      </c>
      <c r="C27" s="7" t="s">
        <v>225</v>
      </c>
      <c r="D27" s="7" t="s">
        <v>226</v>
      </c>
      <c r="E27" s="13" t="n">
        <v>3</v>
      </c>
      <c r="F27" s="7" t="s">
        <v>227</v>
      </c>
      <c r="G27" s="13" t="n">
        <v>3</v>
      </c>
      <c r="H27" s="7" t="s">
        <v>228</v>
      </c>
      <c r="I27" s="14" t="n">
        <v>2</v>
      </c>
      <c r="J27" s="7" t="s">
        <v>229</v>
      </c>
    </row>
    <row r="28" customFormat="false" ht="15" hidden="false" customHeight="false" outlineLevel="0" collapsed="false">
      <c r="A28" s="9" t="s">
        <v>230</v>
      </c>
      <c r="B28" s="9"/>
      <c r="C28" s="10"/>
      <c r="D28" s="10"/>
      <c r="E28" s="10"/>
      <c r="F28" s="10"/>
      <c r="G28" s="10"/>
      <c r="H28" s="10"/>
      <c r="I28" s="10"/>
      <c r="J28" s="10"/>
    </row>
    <row r="29" customFormat="false" ht="22.35" hidden="false" customHeight="false" outlineLevel="0" collapsed="false">
      <c r="A29" s="7" t="s">
        <v>231</v>
      </c>
      <c r="B29" s="11" t="s">
        <v>232</v>
      </c>
      <c r="C29" s="7" t="s">
        <v>233</v>
      </c>
      <c r="D29" s="7" t="s">
        <v>234</v>
      </c>
      <c r="E29" s="12" t="n">
        <v>4</v>
      </c>
      <c r="F29" s="7" t="s">
        <v>235</v>
      </c>
      <c r="G29" s="12" t="n">
        <v>4</v>
      </c>
      <c r="H29" s="7" t="s">
        <v>236</v>
      </c>
      <c r="I29" s="13" t="n">
        <v>3</v>
      </c>
      <c r="J29" s="7" t="s">
        <v>237</v>
      </c>
    </row>
    <row r="30" customFormat="false" ht="15" hidden="false" customHeight="false" outlineLevel="0" collapsed="false">
      <c r="A30" s="7" t="s">
        <v>231</v>
      </c>
      <c r="B30" s="11" t="s">
        <v>238</v>
      </c>
      <c r="C30" s="7" t="s">
        <v>239</v>
      </c>
      <c r="D30" s="7" t="s">
        <v>240</v>
      </c>
      <c r="E30" s="12" t="n">
        <v>4</v>
      </c>
      <c r="F30" s="7" t="s">
        <v>241</v>
      </c>
      <c r="G30" s="12" t="n">
        <v>4</v>
      </c>
      <c r="H30" s="7" t="s">
        <v>242</v>
      </c>
      <c r="I30" s="14" t="n">
        <v>2</v>
      </c>
      <c r="J30" s="7" t="s">
        <v>243</v>
      </c>
    </row>
    <row r="31" customFormat="false" ht="32.8" hidden="false" customHeight="false" outlineLevel="0" collapsed="false">
      <c r="A31" s="7" t="s">
        <v>231</v>
      </c>
      <c r="B31" s="11" t="s">
        <v>244</v>
      </c>
      <c r="C31" s="7" t="s">
        <v>245</v>
      </c>
      <c r="D31" s="7" t="s">
        <v>246</v>
      </c>
      <c r="E31" s="13" t="n">
        <v>3</v>
      </c>
      <c r="F31" s="7" t="s">
        <v>247</v>
      </c>
      <c r="G31" s="12" t="n">
        <v>4</v>
      </c>
      <c r="H31" s="7" t="s">
        <v>248</v>
      </c>
      <c r="I31" s="14" t="n">
        <v>2</v>
      </c>
      <c r="J31" s="7" t="s">
        <v>249</v>
      </c>
    </row>
    <row r="32" customFormat="false" ht="32.8" hidden="false" customHeight="false" outlineLevel="0" collapsed="false">
      <c r="A32" s="7" t="s">
        <v>231</v>
      </c>
      <c r="B32" s="11" t="s">
        <v>250</v>
      </c>
      <c r="C32" s="7" t="s">
        <v>251</v>
      </c>
      <c r="D32" s="7" t="s">
        <v>252</v>
      </c>
      <c r="E32" s="13" t="n">
        <v>3</v>
      </c>
      <c r="F32" s="7" t="s">
        <v>253</v>
      </c>
      <c r="G32" s="13" t="n">
        <v>3</v>
      </c>
      <c r="H32" s="7" t="s">
        <v>254</v>
      </c>
      <c r="I32" s="12" t="n">
        <v>4</v>
      </c>
      <c r="J32" s="7" t="s">
        <v>255</v>
      </c>
    </row>
    <row r="33" customFormat="false" ht="32.8" hidden="false" customHeight="false" outlineLevel="0" collapsed="false">
      <c r="A33" s="7" t="s">
        <v>231</v>
      </c>
      <c r="B33" s="11" t="s">
        <v>256</v>
      </c>
      <c r="C33" s="7" t="s">
        <v>257</v>
      </c>
      <c r="D33" s="7" t="s">
        <v>258</v>
      </c>
      <c r="E33" s="13" t="n">
        <v>3</v>
      </c>
      <c r="F33" s="7" t="s">
        <v>259</v>
      </c>
      <c r="G33" s="13" t="n">
        <v>3</v>
      </c>
      <c r="H33" s="7" t="s">
        <v>260</v>
      </c>
      <c r="I33" s="16" t="n">
        <v>0</v>
      </c>
      <c r="J33" s="7" t="s">
        <v>261</v>
      </c>
    </row>
    <row r="34" customFormat="false" ht="15" hidden="false" customHeight="false" outlineLevel="0" collapsed="false">
      <c r="A34" s="9" t="s">
        <v>262</v>
      </c>
      <c r="B34" s="9"/>
      <c r="C34" s="10"/>
      <c r="D34" s="10"/>
      <c r="E34" s="10"/>
      <c r="F34" s="10"/>
      <c r="G34" s="10"/>
      <c r="H34" s="10"/>
      <c r="I34" s="10"/>
      <c r="J34" s="10"/>
    </row>
    <row r="35" customFormat="false" ht="15" hidden="false" customHeight="false" outlineLevel="0" collapsed="false">
      <c r="A35" s="7" t="s">
        <v>263</v>
      </c>
      <c r="B35" s="11" t="s">
        <v>264</v>
      </c>
      <c r="C35" s="7" t="s">
        <v>265</v>
      </c>
      <c r="D35" s="7" t="s">
        <v>266</v>
      </c>
      <c r="E35" s="12" t="n">
        <v>4</v>
      </c>
      <c r="F35" s="7" t="s">
        <v>267</v>
      </c>
      <c r="G35" s="12" t="n">
        <v>4</v>
      </c>
      <c r="H35" s="7" t="s">
        <v>268</v>
      </c>
      <c r="I35" s="13" t="n">
        <v>3</v>
      </c>
      <c r="J35" s="7" t="s">
        <v>269</v>
      </c>
    </row>
    <row r="36" customFormat="false" ht="15" hidden="false" customHeight="false" outlineLevel="0" collapsed="false">
      <c r="A36" s="7" t="s">
        <v>263</v>
      </c>
      <c r="B36" s="11" t="s">
        <v>270</v>
      </c>
      <c r="C36" s="7" t="s">
        <v>271</v>
      </c>
      <c r="D36" s="7" t="s">
        <v>272</v>
      </c>
      <c r="E36" s="13" t="n">
        <v>3</v>
      </c>
      <c r="F36" s="7" t="s">
        <v>273</v>
      </c>
      <c r="G36" s="12" t="n">
        <v>4</v>
      </c>
      <c r="H36" s="7" t="s">
        <v>274</v>
      </c>
      <c r="I36" s="14" t="n">
        <v>2</v>
      </c>
      <c r="J36" s="7" t="s">
        <v>275</v>
      </c>
    </row>
    <row r="37" customFormat="false" ht="22.35" hidden="false" customHeight="false" outlineLevel="0" collapsed="false">
      <c r="A37" s="7" t="s">
        <v>263</v>
      </c>
      <c r="B37" s="11" t="s">
        <v>276</v>
      </c>
      <c r="C37" s="7" t="s">
        <v>277</v>
      </c>
      <c r="D37" s="7" t="s">
        <v>278</v>
      </c>
      <c r="E37" s="13" t="n">
        <v>3</v>
      </c>
      <c r="F37" s="7" t="s">
        <v>279</v>
      </c>
      <c r="G37" s="12" t="n">
        <v>4</v>
      </c>
      <c r="H37" s="7" t="s">
        <v>280</v>
      </c>
      <c r="I37" s="14" t="n">
        <v>2</v>
      </c>
      <c r="J37" s="7" t="s">
        <v>281</v>
      </c>
    </row>
    <row r="38" customFormat="false" ht="22.35" hidden="false" customHeight="false" outlineLevel="0" collapsed="false">
      <c r="A38" s="7" t="s">
        <v>263</v>
      </c>
      <c r="B38" s="11" t="s">
        <v>282</v>
      </c>
      <c r="C38" s="7" t="s">
        <v>283</v>
      </c>
      <c r="D38" s="7" t="s">
        <v>284</v>
      </c>
      <c r="E38" s="13" t="n">
        <v>3</v>
      </c>
      <c r="F38" s="7" t="s">
        <v>285</v>
      </c>
      <c r="G38" s="13" t="n">
        <v>3</v>
      </c>
      <c r="H38" s="7" t="s">
        <v>286</v>
      </c>
      <c r="I38" s="14" t="n">
        <v>2</v>
      </c>
      <c r="J38" s="7" t="s">
        <v>287</v>
      </c>
    </row>
    <row r="39" customFormat="false" ht="22.35" hidden="false" customHeight="false" outlineLevel="0" collapsed="false">
      <c r="A39" s="7" t="s">
        <v>263</v>
      </c>
      <c r="B39" s="11" t="s">
        <v>288</v>
      </c>
      <c r="C39" s="7" t="s">
        <v>289</v>
      </c>
      <c r="D39" s="7" t="s">
        <v>290</v>
      </c>
      <c r="E39" s="13" t="n">
        <v>3</v>
      </c>
      <c r="F39" s="7" t="s">
        <v>291</v>
      </c>
      <c r="G39" s="13" t="n">
        <v>3</v>
      </c>
      <c r="H39" s="7" t="s">
        <v>292</v>
      </c>
      <c r="I39" s="14" t="n">
        <v>2</v>
      </c>
      <c r="J39" s="7" t="s">
        <v>293</v>
      </c>
    </row>
    <row r="40" customFormat="false" ht="15" hidden="false" customHeight="false" outlineLevel="0" collapsed="false">
      <c r="A40" s="9" t="s">
        <v>294</v>
      </c>
      <c r="B40" s="9"/>
      <c r="C40" s="10"/>
      <c r="D40" s="10"/>
      <c r="E40" s="10"/>
      <c r="F40" s="10"/>
      <c r="G40" s="10"/>
      <c r="H40" s="10"/>
      <c r="I40" s="10"/>
      <c r="J40" s="10"/>
    </row>
    <row r="41" customFormat="false" ht="22.35" hidden="false" customHeight="false" outlineLevel="0" collapsed="false">
      <c r="A41" s="7" t="s">
        <v>295</v>
      </c>
      <c r="B41" s="11" t="s">
        <v>296</v>
      </c>
      <c r="C41" s="7" t="s">
        <v>297</v>
      </c>
      <c r="D41" s="7" t="s">
        <v>298</v>
      </c>
      <c r="E41" s="13" t="n">
        <v>3</v>
      </c>
      <c r="F41" s="7" t="s">
        <v>299</v>
      </c>
      <c r="G41" s="12" t="n">
        <v>4</v>
      </c>
      <c r="H41" s="7" t="s">
        <v>300</v>
      </c>
      <c r="I41" s="14" t="n">
        <v>2</v>
      </c>
      <c r="J41" s="7" t="s">
        <v>301</v>
      </c>
    </row>
    <row r="42" customFormat="false" ht="22.35" hidden="false" customHeight="false" outlineLevel="0" collapsed="false">
      <c r="A42" s="7" t="s">
        <v>295</v>
      </c>
      <c r="B42" s="11" t="s">
        <v>302</v>
      </c>
      <c r="C42" s="7" t="s">
        <v>303</v>
      </c>
      <c r="D42" s="7" t="s">
        <v>304</v>
      </c>
      <c r="E42" s="13" t="n">
        <v>3</v>
      </c>
      <c r="F42" s="7" t="s">
        <v>305</v>
      </c>
      <c r="G42" s="13" t="n">
        <v>3</v>
      </c>
      <c r="H42" s="7" t="s">
        <v>306</v>
      </c>
      <c r="I42" s="14" t="n">
        <v>2</v>
      </c>
      <c r="J42" s="7" t="s">
        <v>307</v>
      </c>
    </row>
    <row r="43" customFormat="false" ht="22.35" hidden="false" customHeight="false" outlineLevel="0" collapsed="false">
      <c r="A43" s="7" t="s">
        <v>295</v>
      </c>
      <c r="B43" s="11" t="s">
        <v>308</v>
      </c>
      <c r="C43" s="7" t="s">
        <v>309</v>
      </c>
      <c r="D43" s="7" t="s">
        <v>310</v>
      </c>
      <c r="E43" s="13" t="n">
        <v>3</v>
      </c>
      <c r="F43" s="7" t="s">
        <v>311</v>
      </c>
      <c r="G43" s="13" t="n">
        <v>3</v>
      </c>
      <c r="H43" s="7" t="s">
        <v>312</v>
      </c>
      <c r="I43" s="14" t="n">
        <v>2</v>
      </c>
      <c r="J43" s="7" t="s">
        <v>313</v>
      </c>
    </row>
    <row r="44" customFormat="false" ht="22.35" hidden="false" customHeight="false" outlineLevel="0" collapsed="false">
      <c r="A44" s="7" t="s">
        <v>295</v>
      </c>
      <c r="B44" s="11" t="s">
        <v>314</v>
      </c>
      <c r="C44" s="7" t="s">
        <v>315</v>
      </c>
      <c r="D44" s="7" t="s">
        <v>316</v>
      </c>
      <c r="E44" s="13" t="n">
        <v>3</v>
      </c>
      <c r="F44" s="7" t="s">
        <v>317</v>
      </c>
      <c r="G44" s="13" t="n">
        <v>3</v>
      </c>
      <c r="H44" s="7" t="s">
        <v>318</v>
      </c>
      <c r="I44" s="14" t="n">
        <v>2</v>
      </c>
      <c r="J44" s="7" t="s">
        <v>319</v>
      </c>
    </row>
    <row r="45" customFormat="false" ht="22.35" hidden="false" customHeight="false" outlineLevel="0" collapsed="false">
      <c r="A45" s="7" t="s">
        <v>295</v>
      </c>
      <c r="B45" s="11" t="s">
        <v>320</v>
      </c>
      <c r="C45" s="7" t="s">
        <v>321</v>
      </c>
      <c r="D45" s="7" t="s">
        <v>322</v>
      </c>
      <c r="E45" s="13" t="n">
        <v>3</v>
      </c>
      <c r="F45" s="7" t="s">
        <v>323</v>
      </c>
      <c r="G45" s="12" t="n">
        <v>4</v>
      </c>
      <c r="H45" s="7" t="s">
        <v>324</v>
      </c>
      <c r="I45" s="17" t="n">
        <v>1</v>
      </c>
      <c r="J45" s="7" t="s">
        <v>325</v>
      </c>
    </row>
    <row r="46" customFormat="false" ht="15" hidden="false" customHeight="false" outlineLevel="0" collapsed="false">
      <c r="A46" s="9" t="s">
        <v>326</v>
      </c>
      <c r="B46" s="9"/>
      <c r="C46" s="15" t="s">
        <v>327</v>
      </c>
      <c r="D46" s="10"/>
      <c r="E46" s="10"/>
      <c r="F46" s="10"/>
      <c r="G46" s="10"/>
      <c r="H46" s="10"/>
      <c r="I46" s="10"/>
      <c r="J46" s="10"/>
    </row>
    <row r="47" customFormat="false" ht="22.35" hidden="false" customHeight="false" outlineLevel="0" collapsed="false">
      <c r="A47" s="7" t="s">
        <v>328</v>
      </c>
      <c r="B47" s="11" t="s">
        <v>329</v>
      </c>
      <c r="C47" s="7" t="s">
        <v>330</v>
      </c>
      <c r="D47" s="7" t="s">
        <v>331</v>
      </c>
      <c r="E47" s="13" t="n">
        <v>3</v>
      </c>
      <c r="F47" s="7" t="s">
        <v>332</v>
      </c>
      <c r="G47" s="12" t="n">
        <v>4</v>
      </c>
      <c r="H47" s="7" t="s">
        <v>333</v>
      </c>
      <c r="I47" s="13" t="n">
        <v>3</v>
      </c>
      <c r="J47" s="7" t="s">
        <v>334</v>
      </c>
    </row>
    <row r="48" customFormat="false" ht="15" hidden="false" customHeight="false" outlineLevel="0" collapsed="false">
      <c r="A48" s="7" t="s">
        <v>328</v>
      </c>
      <c r="B48" s="11" t="s">
        <v>335</v>
      </c>
      <c r="C48" s="7" t="s">
        <v>336</v>
      </c>
      <c r="D48" s="7" t="s">
        <v>337</v>
      </c>
      <c r="E48" s="13" t="n">
        <v>3</v>
      </c>
      <c r="F48" s="7" t="s">
        <v>338</v>
      </c>
      <c r="G48" s="12" t="n">
        <v>4</v>
      </c>
      <c r="H48" s="7" t="s">
        <v>339</v>
      </c>
      <c r="I48" s="14" t="n">
        <v>2</v>
      </c>
      <c r="J48" s="7" t="s">
        <v>340</v>
      </c>
    </row>
    <row r="49" customFormat="false" ht="43.25" hidden="false" customHeight="false" outlineLevel="0" collapsed="false">
      <c r="A49" s="7" t="s">
        <v>328</v>
      </c>
      <c r="B49" s="11" t="s">
        <v>341</v>
      </c>
      <c r="C49" s="7" t="s">
        <v>342</v>
      </c>
      <c r="D49" s="7" t="s">
        <v>343</v>
      </c>
      <c r="E49" s="14" t="n">
        <v>2</v>
      </c>
      <c r="F49" s="7" t="s">
        <v>344</v>
      </c>
      <c r="G49" s="12" t="n">
        <v>4</v>
      </c>
      <c r="H49" s="7" t="s">
        <v>345</v>
      </c>
      <c r="I49" s="14" t="n">
        <v>2</v>
      </c>
      <c r="J49" s="7" t="s">
        <v>346</v>
      </c>
    </row>
    <row r="50" customFormat="false" ht="22.35" hidden="false" customHeight="false" outlineLevel="0" collapsed="false">
      <c r="A50" s="7" t="s">
        <v>328</v>
      </c>
      <c r="B50" s="11" t="s">
        <v>347</v>
      </c>
      <c r="C50" s="7" t="s">
        <v>348</v>
      </c>
      <c r="D50" s="7" t="s">
        <v>349</v>
      </c>
      <c r="E50" s="14" t="n">
        <v>2</v>
      </c>
      <c r="F50" s="7" t="s">
        <v>350</v>
      </c>
      <c r="G50" s="13" t="n">
        <v>3</v>
      </c>
      <c r="H50" s="7" t="s">
        <v>351</v>
      </c>
      <c r="I50" s="14" t="n">
        <v>2</v>
      </c>
      <c r="J50" s="7" t="s">
        <v>352</v>
      </c>
    </row>
    <row r="51" customFormat="false" ht="32.8" hidden="false" customHeight="false" outlineLevel="0" collapsed="false">
      <c r="A51" s="7" t="s">
        <v>328</v>
      </c>
      <c r="B51" s="11" t="s">
        <v>353</v>
      </c>
      <c r="C51" s="7" t="s">
        <v>354</v>
      </c>
      <c r="D51" s="7" t="s">
        <v>355</v>
      </c>
      <c r="E51" s="17" t="n">
        <v>1</v>
      </c>
      <c r="F51" s="7" t="s">
        <v>356</v>
      </c>
      <c r="G51" s="13" t="n">
        <v>3</v>
      </c>
      <c r="H51" s="7" t="s">
        <v>357</v>
      </c>
      <c r="I51" s="17" t="n">
        <v>1</v>
      </c>
      <c r="J51" s="7" t="s">
        <v>358</v>
      </c>
    </row>
    <row r="52" customFormat="false" ht="15" hidden="false" customHeight="false" outlineLevel="0" collapsed="false">
      <c r="A52" s="9" t="s">
        <v>359</v>
      </c>
      <c r="B52" s="9"/>
      <c r="C52" s="10"/>
      <c r="D52" s="10"/>
      <c r="E52" s="10"/>
      <c r="F52" s="10"/>
      <c r="G52" s="10"/>
      <c r="H52" s="10"/>
      <c r="I52" s="10"/>
      <c r="J52" s="10"/>
    </row>
    <row r="53" customFormat="false" ht="22.35" hidden="false" customHeight="false" outlineLevel="0" collapsed="false">
      <c r="A53" s="7" t="s">
        <v>360</v>
      </c>
      <c r="B53" s="11" t="s">
        <v>361</v>
      </c>
      <c r="C53" s="7" t="s">
        <v>362</v>
      </c>
      <c r="D53" s="7" t="s">
        <v>363</v>
      </c>
      <c r="E53" s="13" t="n">
        <v>3</v>
      </c>
      <c r="F53" s="7" t="s">
        <v>364</v>
      </c>
      <c r="G53" s="12" t="n">
        <v>4</v>
      </c>
      <c r="H53" s="7" t="s">
        <v>365</v>
      </c>
      <c r="I53" s="13" t="n">
        <v>3</v>
      </c>
      <c r="J53" s="7" t="s">
        <v>366</v>
      </c>
    </row>
    <row r="54" customFormat="false" ht="22.35" hidden="false" customHeight="false" outlineLevel="0" collapsed="false">
      <c r="A54" s="7" t="s">
        <v>360</v>
      </c>
      <c r="B54" s="11" t="s">
        <v>367</v>
      </c>
      <c r="C54" s="7" t="s">
        <v>368</v>
      </c>
      <c r="D54" s="7" t="s">
        <v>369</v>
      </c>
      <c r="E54" s="13" t="n">
        <v>3</v>
      </c>
      <c r="F54" s="7" t="s">
        <v>370</v>
      </c>
      <c r="G54" s="13" t="n">
        <v>3</v>
      </c>
      <c r="H54" s="7" t="s">
        <v>371</v>
      </c>
      <c r="I54" s="13" t="n">
        <v>3</v>
      </c>
      <c r="J54" s="7" t="s">
        <v>372</v>
      </c>
    </row>
    <row r="55" customFormat="false" ht="32.8" hidden="false" customHeight="false" outlineLevel="0" collapsed="false">
      <c r="A55" s="7" t="s">
        <v>360</v>
      </c>
      <c r="B55" s="11" t="s">
        <v>373</v>
      </c>
      <c r="C55" s="7" t="s">
        <v>374</v>
      </c>
      <c r="D55" s="7" t="s">
        <v>375</v>
      </c>
      <c r="E55" s="13" t="n">
        <v>3</v>
      </c>
      <c r="F55" s="7" t="s">
        <v>376</v>
      </c>
      <c r="G55" s="13" t="n">
        <v>3</v>
      </c>
      <c r="H55" s="7" t="s">
        <v>377</v>
      </c>
      <c r="I55" s="14" t="n">
        <v>2</v>
      </c>
      <c r="J55" s="7" t="s">
        <v>378</v>
      </c>
    </row>
    <row r="56" customFormat="false" ht="15" hidden="false" customHeight="false" outlineLevel="0" collapsed="false">
      <c r="A56" s="7" t="s">
        <v>360</v>
      </c>
      <c r="B56" s="11" t="s">
        <v>379</v>
      </c>
      <c r="C56" s="7" t="s">
        <v>380</v>
      </c>
      <c r="D56" s="7" t="s">
        <v>381</v>
      </c>
      <c r="E56" s="13" t="n">
        <v>3</v>
      </c>
      <c r="F56" s="7" t="s">
        <v>382</v>
      </c>
      <c r="G56" s="13" t="n">
        <v>3</v>
      </c>
      <c r="H56" s="7" t="s">
        <v>383</v>
      </c>
      <c r="I56" s="14" t="n">
        <v>2</v>
      </c>
      <c r="J56" s="7" t="s">
        <v>384</v>
      </c>
    </row>
    <row r="57" customFormat="false" ht="22.35" hidden="false" customHeight="false" outlineLevel="0" collapsed="false">
      <c r="A57" s="7" t="s">
        <v>360</v>
      </c>
      <c r="B57" s="11" t="s">
        <v>385</v>
      </c>
      <c r="C57" s="7" t="s">
        <v>386</v>
      </c>
      <c r="D57" s="7" t="s">
        <v>387</v>
      </c>
      <c r="E57" s="13" t="n">
        <v>3</v>
      </c>
      <c r="F57" s="7" t="s">
        <v>388</v>
      </c>
      <c r="G57" s="13" t="n">
        <v>3</v>
      </c>
      <c r="H57" s="7" t="s">
        <v>389</v>
      </c>
      <c r="I57" s="14" t="n">
        <v>2</v>
      </c>
      <c r="J57" s="7" t="s">
        <v>390</v>
      </c>
    </row>
    <row r="58" customFormat="false" ht="15" hidden="false" customHeight="false" outlineLevel="0" collapsed="false">
      <c r="A58" s="9" t="s">
        <v>391</v>
      </c>
      <c r="B58" s="9"/>
      <c r="C58" s="10"/>
      <c r="D58" s="10"/>
      <c r="E58" s="10"/>
      <c r="F58" s="10"/>
      <c r="G58" s="10"/>
      <c r="H58" s="10"/>
      <c r="I58" s="10"/>
      <c r="J58" s="10"/>
    </row>
    <row r="59" customFormat="false" ht="32.8" hidden="false" customHeight="false" outlineLevel="0" collapsed="false">
      <c r="A59" s="7" t="s">
        <v>392</v>
      </c>
      <c r="B59" s="11" t="s">
        <v>393</v>
      </c>
      <c r="C59" s="7" t="s">
        <v>394</v>
      </c>
      <c r="D59" s="7" t="s">
        <v>395</v>
      </c>
      <c r="E59" s="13" t="n">
        <v>3</v>
      </c>
      <c r="F59" s="7" t="s">
        <v>396</v>
      </c>
      <c r="G59" s="12" t="n">
        <v>4</v>
      </c>
      <c r="H59" s="7" t="s">
        <v>397</v>
      </c>
      <c r="I59" s="12" t="n">
        <v>4</v>
      </c>
      <c r="J59" s="7" t="s">
        <v>398</v>
      </c>
    </row>
    <row r="60" customFormat="false" ht="22.35" hidden="false" customHeight="false" outlineLevel="0" collapsed="false">
      <c r="A60" s="7" t="s">
        <v>392</v>
      </c>
      <c r="B60" s="11" t="s">
        <v>399</v>
      </c>
      <c r="C60" s="7" t="s">
        <v>400</v>
      </c>
      <c r="D60" s="7" t="s">
        <v>401</v>
      </c>
      <c r="E60" s="13" t="n">
        <v>3</v>
      </c>
      <c r="F60" s="7" t="s">
        <v>402</v>
      </c>
      <c r="G60" s="12" t="n">
        <v>4</v>
      </c>
      <c r="H60" s="7" t="s">
        <v>403</v>
      </c>
      <c r="I60" s="12" t="n">
        <v>4</v>
      </c>
      <c r="J60" s="7" t="s">
        <v>404</v>
      </c>
    </row>
    <row r="61" customFormat="false" ht="22.35" hidden="false" customHeight="false" outlineLevel="0" collapsed="false">
      <c r="A61" s="7" t="s">
        <v>392</v>
      </c>
      <c r="B61" s="11" t="s">
        <v>405</v>
      </c>
      <c r="C61" s="7" t="s">
        <v>406</v>
      </c>
      <c r="D61" s="7" t="s">
        <v>407</v>
      </c>
      <c r="E61" s="13" t="n">
        <v>3</v>
      </c>
      <c r="F61" s="7" t="s">
        <v>408</v>
      </c>
      <c r="G61" s="13" t="n">
        <v>3</v>
      </c>
      <c r="H61" s="7" t="s">
        <v>409</v>
      </c>
      <c r="I61" s="13" t="n">
        <v>3</v>
      </c>
      <c r="J61" s="7" t="s">
        <v>410</v>
      </c>
    </row>
    <row r="62" customFormat="false" ht="15" hidden="false" customHeight="false" outlineLevel="0" collapsed="false">
      <c r="A62" s="7" t="s">
        <v>392</v>
      </c>
      <c r="B62" s="11" t="s">
        <v>411</v>
      </c>
      <c r="C62" s="7" t="s">
        <v>412</v>
      </c>
      <c r="D62" s="7" t="s">
        <v>413</v>
      </c>
      <c r="E62" s="13" t="n">
        <v>3</v>
      </c>
      <c r="F62" s="7" t="s">
        <v>414</v>
      </c>
      <c r="G62" s="13" t="n">
        <v>3</v>
      </c>
      <c r="H62" s="7" t="s">
        <v>415</v>
      </c>
      <c r="I62" s="13" t="n">
        <v>3</v>
      </c>
      <c r="J62" s="7" t="s">
        <v>416</v>
      </c>
    </row>
    <row r="63" customFormat="false" ht="15" hidden="false" customHeight="false" outlineLevel="0" collapsed="false">
      <c r="A63" s="7" t="s">
        <v>392</v>
      </c>
      <c r="B63" s="11" t="s">
        <v>417</v>
      </c>
      <c r="C63" s="7" t="s">
        <v>418</v>
      </c>
      <c r="D63" s="7" t="s">
        <v>419</v>
      </c>
      <c r="E63" s="13" t="n">
        <v>3</v>
      </c>
      <c r="F63" s="7" t="s">
        <v>420</v>
      </c>
      <c r="G63" s="13" t="n">
        <v>3</v>
      </c>
      <c r="H63" s="7" t="s">
        <v>421</v>
      </c>
      <c r="I63" s="13" t="n">
        <v>3</v>
      </c>
      <c r="J63" s="7" t="s">
        <v>422</v>
      </c>
    </row>
    <row r="64" customFormat="false" ht="15" hidden="false" customHeight="false" outlineLevel="0" collapsed="false">
      <c r="A64" s="9" t="s">
        <v>423</v>
      </c>
      <c r="B64" s="9"/>
      <c r="C64" s="15" t="s">
        <v>424</v>
      </c>
      <c r="D64" s="10"/>
      <c r="E64" s="10"/>
      <c r="F64" s="10"/>
      <c r="G64" s="10"/>
      <c r="H64" s="10"/>
      <c r="I64" s="10"/>
      <c r="J64" s="10"/>
    </row>
    <row r="65" customFormat="false" ht="32.8" hidden="false" customHeight="false" outlineLevel="0" collapsed="false">
      <c r="A65" s="7" t="s">
        <v>425</v>
      </c>
      <c r="B65" s="11" t="s">
        <v>426</v>
      </c>
      <c r="C65" s="7" t="s">
        <v>427</v>
      </c>
      <c r="D65" s="7" t="s">
        <v>428</v>
      </c>
      <c r="E65" s="16" t="n">
        <v>0</v>
      </c>
      <c r="F65" s="7" t="s">
        <v>429</v>
      </c>
      <c r="G65" s="12" t="n">
        <v>4</v>
      </c>
      <c r="H65" s="7" t="s">
        <v>430</v>
      </c>
      <c r="I65" s="17" t="n">
        <v>1</v>
      </c>
      <c r="J65" s="7" t="s">
        <v>431</v>
      </c>
    </row>
    <row r="66" customFormat="false" ht="22.35" hidden="false" customHeight="false" outlineLevel="0" collapsed="false">
      <c r="A66" s="7" t="s">
        <v>425</v>
      </c>
      <c r="B66" s="11" t="s">
        <v>432</v>
      </c>
      <c r="C66" s="7" t="s">
        <v>433</v>
      </c>
      <c r="D66" s="7" t="s">
        <v>434</v>
      </c>
      <c r="E66" s="16" t="n">
        <v>0</v>
      </c>
      <c r="F66" s="7" t="s">
        <v>435</v>
      </c>
      <c r="G66" s="13" t="n">
        <v>3</v>
      </c>
      <c r="H66" s="7" t="s">
        <v>436</v>
      </c>
      <c r="I66" s="17" t="n">
        <v>1</v>
      </c>
      <c r="J66" s="7" t="s">
        <v>437</v>
      </c>
    </row>
    <row r="67" customFormat="false" ht="22.35" hidden="false" customHeight="false" outlineLevel="0" collapsed="false">
      <c r="A67" s="7" t="s">
        <v>425</v>
      </c>
      <c r="B67" s="11" t="s">
        <v>438</v>
      </c>
      <c r="C67" s="7" t="s">
        <v>439</v>
      </c>
      <c r="D67" s="7" t="s">
        <v>440</v>
      </c>
      <c r="E67" s="17" t="n">
        <v>1</v>
      </c>
      <c r="F67" s="7" t="s">
        <v>441</v>
      </c>
      <c r="G67" s="13" t="n">
        <v>3</v>
      </c>
      <c r="H67" s="7" t="s">
        <v>442</v>
      </c>
      <c r="I67" s="17" t="n">
        <v>1</v>
      </c>
      <c r="J67" s="7" t="s">
        <v>443</v>
      </c>
    </row>
    <row r="68" customFormat="false" ht="22.35" hidden="false" customHeight="false" outlineLevel="0" collapsed="false">
      <c r="A68" s="7" t="s">
        <v>425</v>
      </c>
      <c r="B68" s="11" t="s">
        <v>444</v>
      </c>
      <c r="C68" s="7" t="s">
        <v>445</v>
      </c>
      <c r="D68" s="7" t="s">
        <v>446</v>
      </c>
      <c r="E68" s="17" t="n">
        <v>1</v>
      </c>
      <c r="F68" s="7" t="s">
        <v>447</v>
      </c>
      <c r="G68" s="13" t="n">
        <v>3</v>
      </c>
      <c r="H68" s="7" t="s">
        <v>448</v>
      </c>
      <c r="I68" s="17" t="n">
        <v>1</v>
      </c>
      <c r="J68" s="7" t="s">
        <v>449</v>
      </c>
    </row>
    <row r="69" customFormat="false" ht="22.35" hidden="false" customHeight="false" outlineLevel="0" collapsed="false">
      <c r="A69" s="7" t="s">
        <v>425</v>
      </c>
      <c r="B69" s="11" t="s">
        <v>450</v>
      </c>
      <c r="C69" s="7" t="s">
        <v>451</v>
      </c>
      <c r="D69" s="7" t="s">
        <v>452</v>
      </c>
      <c r="E69" s="16" t="n">
        <v>0</v>
      </c>
      <c r="F69" s="7" t="s">
        <v>453</v>
      </c>
      <c r="G69" s="12" t="n">
        <v>4</v>
      </c>
      <c r="H69" s="7" t="s">
        <v>454</v>
      </c>
      <c r="I69" s="17" t="n">
        <v>1</v>
      </c>
      <c r="J69" s="7" t="s">
        <v>455</v>
      </c>
    </row>
    <row r="70" customFormat="false" ht="15" hidden="false" customHeight="false" outlineLevel="0" collapsed="false">
      <c r="A70" s="9" t="s">
        <v>456</v>
      </c>
      <c r="B70" s="9"/>
      <c r="C70" s="10"/>
      <c r="D70" s="10"/>
      <c r="E70" s="10"/>
      <c r="F70" s="10"/>
      <c r="G70" s="10"/>
      <c r="H70" s="10"/>
      <c r="I70" s="10"/>
      <c r="J70" s="10"/>
    </row>
    <row r="71" customFormat="false" ht="22.35" hidden="false" customHeight="false" outlineLevel="0" collapsed="false">
      <c r="A71" s="7" t="s">
        <v>457</v>
      </c>
      <c r="B71" s="11" t="s">
        <v>458</v>
      </c>
      <c r="C71" s="7" t="s">
        <v>459</v>
      </c>
      <c r="D71" s="7" t="s">
        <v>460</v>
      </c>
      <c r="E71" s="17" t="n">
        <v>1</v>
      </c>
      <c r="F71" s="7" t="s">
        <v>461</v>
      </c>
      <c r="G71" s="12" t="n">
        <v>4</v>
      </c>
      <c r="H71" s="7" t="s">
        <v>462</v>
      </c>
      <c r="I71" s="14" t="n">
        <v>2</v>
      </c>
      <c r="J71" s="7" t="s">
        <v>463</v>
      </c>
    </row>
    <row r="72" customFormat="false" ht="22.35" hidden="false" customHeight="false" outlineLevel="0" collapsed="false">
      <c r="A72" s="7" t="s">
        <v>457</v>
      </c>
      <c r="B72" s="11" t="s">
        <v>464</v>
      </c>
      <c r="C72" s="7" t="s">
        <v>465</v>
      </c>
      <c r="D72" s="7" t="s">
        <v>466</v>
      </c>
      <c r="E72" s="14" t="n">
        <v>2</v>
      </c>
      <c r="F72" s="7" t="s">
        <v>467</v>
      </c>
      <c r="G72" s="12" t="n">
        <v>4</v>
      </c>
      <c r="H72" s="7" t="s">
        <v>468</v>
      </c>
      <c r="I72" s="14" t="n">
        <v>2</v>
      </c>
      <c r="J72" s="7" t="s">
        <v>469</v>
      </c>
    </row>
    <row r="73" customFormat="false" ht="22.35" hidden="false" customHeight="false" outlineLevel="0" collapsed="false">
      <c r="A73" s="7" t="s">
        <v>457</v>
      </c>
      <c r="B73" s="11" t="s">
        <v>470</v>
      </c>
      <c r="C73" s="7" t="s">
        <v>471</v>
      </c>
      <c r="D73" s="7" t="s">
        <v>472</v>
      </c>
      <c r="E73" s="14" t="n">
        <v>2</v>
      </c>
      <c r="F73" s="7" t="s">
        <v>473</v>
      </c>
      <c r="G73" s="13" t="n">
        <v>3</v>
      </c>
      <c r="H73" s="7" t="s">
        <v>474</v>
      </c>
      <c r="I73" s="13" t="n">
        <v>3</v>
      </c>
      <c r="J73" s="7" t="s">
        <v>475</v>
      </c>
    </row>
    <row r="74" customFormat="false" ht="22.35" hidden="false" customHeight="false" outlineLevel="0" collapsed="false">
      <c r="A74" s="7" t="s">
        <v>457</v>
      </c>
      <c r="B74" s="11" t="s">
        <v>476</v>
      </c>
      <c r="C74" s="7" t="s">
        <v>477</v>
      </c>
      <c r="D74" s="7" t="s">
        <v>478</v>
      </c>
      <c r="E74" s="17" t="n">
        <v>1</v>
      </c>
      <c r="F74" s="7" t="s">
        <v>479</v>
      </c>
      <c r="G74" s="13" t="n">
        <v>3</v>
      </c>
      <c r="H74" s="7" t="s">
        <v>480</v>
      </c>
      <c r="I74" s="17" t="n">
        <v>1</v>
      </c>
      <c r="J74" s="7" t="s">
        <v>481</v>
      </c>
    </row>
    <row r="75" customFormat="false" ht="22.35" hidden="false" customHeight="false" outlineLevel="0" collapsed="false">
      <c r="A75" s="7" t="s">
        <v>457</v>
      </c>
      <c r="B75" s="11" t="s">
        <v>482</v>
      </c>
      <c r="C75" s="7" t="s">
        <v>483</v>
      </c>
      <c r="D75" s="7" t="s">
        <v>446</v>
      </c>
      <c r="E75" s="14" t="n">
        <v>2</v>
      </c>
      <c r="F75" s="7" t="s">
        <v>484</v>
      </c>
      <c r="G75" s="13" t="n">
        <v>3</v>
      </c>
      <c r="H75" s="7" t="s">
        <v>485</v>
      </c>
      <c r="I75" s="17" t="n">
        <v>1</v>
      </c>
      <c r="J75" s="7" t="s">
        <v>486</v>
      </c>
    </row>
    <row r="76" customFormat="false" ht="15" hidden="false" customHeight="false" outlineLevel="0" collapsed="false">
      <c r="A76" s="9" t="s">
        <v>487</v>
      </c>
      <c r="B76" s="9"/>
      <c r="C76" s="10"/>
      <c r="D76" s="10"/>
      <c r="E76" s="10"/>
      <c r="F76" s="10"/>
      <c r="G76" s="10"/>
      <c r="H76" s="10"/>
      <c r="I76" s="10"/>
      <c r="J76" s="10"/>
    </row>
    <row r="77" customFormat="false" ht="22.35" hidden="false" customHeight="false" outlineLevel="0" collapsed="false">
      <c r="A77" s="7" t="s">
        <v>488</v>
      </c>
      <c r="B77" s="11" t="s">
        <v>489</v>
      </c>
      <c r="C77" s="7" t="s">
        <v>490</v>
      </c>
      <c r="D77" s="7" t="s">
        <v>491</v>
      </c>
      <c r="E77" s="17" t="n">
        <v>1</v>
      </c>
      <c r="F77" s="7" t="s">
        <v>492</v>
      </c>
      <c r="G77" s="13" t="n">
        <v>3</v>
      </c>
      <c r="H77" s="7" t="s">
        <v>493</v>
      </c>
      <c r="I77" s="17" t="n">
        <v>1</v>
      </c>
      <c r="J77" s="7" t="s">
        <v>494</v>
      </c>
    </row>
    <row r="78" customFormat="false" ht="15" hidden="false" customHeight="false" outlineLevel="0" collapsed="false">
      <c r="A78" s="7" t="s">
        <v>488</v>
      </c>
      <c r="B78" s="11" t="s">
        <v>495</v>
      </c>
      <c r="C78" s="7" t="s">
        <v>496</v>
      </c>
      <c r="D78" s="7" t="s">
        <v>497</v>
      </c>
      <c r="E78" s="14" t="n">
        <v>2</v>
      </c>
      <c r="F78" s="7" t="s">
        <v>498</v>
      </c>
      <c r="G78" s="13" t="n">
        <v>3</v>
      </c>
      <c r="H78" s="7" t="s">
        <v>499</v>
      </c>
      <c r="I78" s="17" t="n">
        <v>1</v>
      </c>
      <c r="J78" s="7" t="s">
        <v>500</v>
      </c>
    </row>
    <row r="79" customFormat="false" ht="22.35" hidden="false" customHeight="false" outlineLevel="0" collapsed="false">
      <c r="A79" s="7" t="s">
        <v>488</v>
      </c>
      <c r="B79" s="11" t="s">
        <v>501</v>
      </c>
      <c r="C79" s="7" t="s">
        <v>502</v>
      </c>
      <c r="D79" s="7" t="s">
        <v>503</v>
      </c>
      <c r="E79" s="14" t="n">
        <v>2</v>
      </c>
      <c r="F79" s="7" t="s">
        <v>504</v>
      </c>
      <c r="G79" s="13" t="n">
        <v>3</v>
      </c>
      <c r="H79" s="7" t="s">
        <v>505</v>
      </c>
      <c r="I79" s="14" t="n">
        <v>2</v>
      </c>
      <c r="J79" s="7" t="s">
        <v>506</v>
      </c>
    </row>
    <row r="80" customFormat="false" ht="22.35" hidden="false" customHeight="false" outlineLevel="0" collapsed="false">
      <c r="A80" s="7" t="s">
        <v>488</v>
      </c>
      <c r="B80" s="11" t="s">
        <v>507</v>
      </c>
      <c r="C80" s="7" t="s">
        <v>508</v>
      </c>
      <c r="D80" s="7" t="s">
        <v>509</v>
      </c>
      <c r="E80" s="17" t="n">
        <v>1</v>
      </c>
      <c r="F80" s="7" t="s">
        <v>510</v>
      </c>
      <c r="G80" s="13" t="n">
        <v>3</v>
      </c>
      <c r="H80" s="7" t="s">
        <v>511</v>
      </c>
      <c r="I80" s="17" t="n">
        <v>1</v>
      </c>
      <c r="J80" s="7" t="s">
        <v>512</v>
      </c>
    </row>
    <row r="81" customFormat="false" ht="22.35" hidden="false" customHeight="false" outlineLevel="0" collapsed="false">
      <c r="A81" s="7" t="s">
        <v>488</v>
      </c>
      <c r="B81" s="11" t="s">
        <v>513</v>
      </c>
      <c r="C81" s="7" t="s">
        <v>514</v>
      </c>
      <c r="D81" s="7" t="s">
        <v>515</v>
      </c>
      <c r="E81" s="17" t="n">
        <v>1</v>
      </c>
      <c r="F81" s="7" t="s">
        <v>516</v>
      </c>
      <c r="G81" s="13" t="n">
        <v>3</v>
      </c>
      <c r="H81" s="7" t="s">
        <v>517</v>
      </c>
      <c r="I81" s="17" t="n">
        <v>1</v>
      </c>
      <c r="J81" s="7" t="s">
        <v>518</v>
      </c>
    </row>
  </sheetData>
  <mergeCells count="15">
    <mergeCell ref="A1:J1"/>
    <mergeCell ref="A2:J2"/>
    <mergeCell ref="A4:B4"/>
    <mergeCell ref="A10:B10"/>
    <mergeCell ref="A16:B16"/>
    <mergeCell ref="A22:B22"/>
    <mergeCell ref="A28:B28"/>
    <mergeCell ref="A34:B34"/>
    <mergeCell ref="A40:B40"/>
    <mergeCell ref="A46:B46"/>
    <mergeCell ref="A52:B52"/>
    <mergeCell ref="A58:B58"/>
    <mergeCell ref="A64:B64"/>
    <mergeCell ref="A70:B70"/>
    <mergeCell ref="A76:B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0" min="2" style="0" width="15"/>
  </cols>
  <sheetData>
    <row r="1" customFormat="false" ht="21.75" hidden="false" customHeight="true" outlineLevel="0" collapsed="false">
      <c r="A1" s="1" t="s">
        <v>519</v>
      </c>
      <c r="B1" s="1"/>
      <c r="C1" s="1"/>
      <c r="D1" s="1"/>
      <c r="E1" s="1"/>
      <c r="F1" s="1"/>
      <c r="G1" s="1"/>
      <c r="H1" s="1"/>
      <c r="I1" s="1"/>
      <c r="J1" s="1"/>
    </row>
    <row r="2" customFormat="false" ht="15" hidden="false" customHeight="false" outlineLevel="0" collapsed="false">
      <c r="A2" s="2" t="s">
        <v>520</v>
      </c>
      <c r="B2" s="2"/>
      <c r="C2" s="2"/>
      <c r="D2" s="2"/>
      <c r="E2" s="2"/>
      <c r="F2" s="2"/>
      <c r="G2" s="2"/>
      <c r="H2" s="2"/>
      <c r="I2" s="2"/>
      <c r="J2" s="2"/>
    </row>
    <row r="4" customFormat="false" ht="15" hidden="false" customHeight="false" outlineLevel="0" collapsed="false">
      <c r="A4" s="18" t="s">
        <v>521</v>
      </c>
      <c r="B4" s="18"/>
      <c r="C4" s="18"/>
      <c r="D4" s="18"/>
      <c r="E4" s="18"/>
      <c r="F4" s="18"/>
      <c r="G4" s="18"/>
      <c r="H4" s="18"/>
    </row>
    <row r="5" customFormat="false" ht="30" hidden="false" customHeight="true" outlineLevel="0" collapsed="false">
      <c r="A5" s="8" t="s">
        <v>90</v>
      </c>
      <c r="B5" s="8" t="s">
        <v>522</v>
      </c>
      <c r="C5" s="8" t="s">
        <v>523</v>
      </c>
      <c r="D5" s="8" t="s">
        <v>524</v>
      </c>
      <c r="E5" s="8" t="s">
        <v>525</v>
      </c>
      <c r="F5" s="8" t="s">
        <v>526</v>
      </c>
      <c r="G5" s="8" t="s">
        <v>527</v>
      </c>
      <c r="H5" s="8" t="s">
        <v>528</v>
      </c>
      <c r="I5" s="8" t="s">
        <v>529</v>
      </c>
      <c r="J5" s="8" t="s">
        <v>530</v>
      </c>
    </row>
    <row r="6" customFormat="false" ht="15" hidden="false" customHeight="false" outlineLevel="0" collapsed="false">
      <c r="A6" s="19" t="s">
        <v>100</v>
      </c>
      <c r="B6" s="20" t="n">
        <v>0.08</v>
      </c>
      <c r="C6" s="21" t="n">
        <f aca="false">AVERAGE('Questionnaire &amp; Scores'!E5:E9)</f>
        <v>3.6</v>
      </c>
      <c r="D6" s="22" t="n">
        <f aca="false">B6*100*C6/4</f>
        <v>7.2</v>
      </c>
      <c r="E6" s="20" t="n">
        <v>0.09</v>
      </c>
      <c r="F6" s="21" t="n">
        <f aca="false">AVERAGE('Questionnaire &amp; Scores'!G5:G9)</f>
        <v>3.8</v>
      </c>
      <c r="G6" s="22" t="n">
        <f aca="false">E6*100*F6/4</f>
        <v>8.55</v>
      </c>
      <c r="H6" s="20" t="n">
        <v>0.08</v>
      </c>
      <c r="I6" s="21" t="n">
        <f aca="false">AVERAGE('Questionnaire &amp; Scores'!I5:I9)</f>
        <v>2.2</v>
      </c>
      <c r="J6" s="22" t="n">
        <f aca="false">H6*100*I6/4</f>
        <v>4.4</v>
      </c>
    </row>
    <row r="7" customFormat="false" ht="15" hidden="false" customHeight="false" outlineLevel="0" collapsed="false">
      <c r="A7" s="19" t="s">
        <v>132</v>
      </c>
      <c r="B7" s="20" t="n">
        <v>0.11</v>
      </c>
      <c r="C7" s="21" t="n">
        <f aca="false">AVERAGE('Questionnaire &amp; Scores'!E11:E15)</f>
        <v>3.4</v>
      </c>
      <c r="D7" s="22" t="n">
        <f aca="false">B7*100*C7/4</f>
        <v>9.35</v>
      </c>
      <c r="E7" s="20" t="n">
        <v>0.11</v>
      </c>
      <c r="F7" s="21" t="n">
        <f aca="false">AVERAGE('Questionnaire &amp; Scores'!G11:G15)</f>
        <v>3.8</v>
      </c>
      <c r="G7" s="22" t="n">
        <f aca="false">E7*100*F7/4</f>
        <v>10.45</v>
      </c>
      <c r="H7" s="20" t="n">
        <v>0.14</v>
      </c>
      <c r="I7" s="21" t="n">
        <f aca="false">AVERAGE('Questionnaire &amp; Scores'!I11:I15)</f>
        <v>1.6</v>
      </c>
      <c r="J7" s="22" t="n">
        <f aca="false">H7*100*I7/4</f>
        <v>5.6</v>
      </c>
    </row>
    <row r="8" customFormat="false" ht="15" hidden="false" customHeight="false" outlineLevel="0" collapsed="false">
      <c r="A8" s="19" t="s">
        <v>165</v>
      </c>
      <c r="B8" s="20" t="n">
        <v>0.14</v>
      </c>
      <c r="C8" s="21" t="n">
        <f aca="false">AVERAGE('Questionnaire &amp; Scores'!E17:E21)</f>
        <v>3.4</v>
      </c>
      <c r="D8" s="22" t="n">
        <f aca="false">B8*100*C8/4</f>
        <v>11.9</v>
      </c>
      <c r="E8" s="20" t="n">
        <v>0.15</v>
      </c>
      <c r="F8" s="21" t="n">
        <f aca="false">AVERAGE('Questionnaire &amp; Scores'!G17:G21)</f>
        <v>3.8</v>
      </c>
      <c r="G8" s="22" t="n">
        <f aca="false">E8*100*F8/4</f>
        <v>14.25</v>
      </c>
      <c r="H8" s="20" t="n">
        <v>0.13</v>
      </c>
      <c r="I8" s="21" t="n">
        <f aca="false">AVERAGE('Questionnaire &amp; Scores'!I17:I21)</f>
        <v>2.2</v>
      </c>
      <c r="J8" s="22" t="n">
        <f aca="false">H8*100*I8/4</f>
        <v>7.15</v>
      </c>
    </row>
    <row r="9" customFormat="false" ht="15" hidden="false" customHeight="false" outlineLevel="0" collapsed="false">
      <c r="A9" s="19" t="s">
        <v>198</v>
      </c>
      <c r="B9" s="20" t="n">
        <v>0.07</v>
      </c>
      <c r="C9" s="21" t="n">
        <f aca="false">AVERAGE('Questionnaire &amp; Scores'!E23:E27)</f>
        <v>3.2</v>
      </c>
      <c r="D9" s="22" t="n">
        <f aca="false">B9*100*C9/4</f>
        <v>5.6</v>
      </c>
      <c r="E9" s="20" t="n">
        <v>0.08</v>
      </c>
      <c r="F9" s="21" t="n">
        <f aca="false">AVERAGE('Questionnaire &amp; Scores'!G23:G27)</f>
        <v>3.6</v>
      </c>
      <c r="G9" s="22" t="n">
        <f aca="false">E9*100*F9/4</f>
        <v>7.2</v>
      </c>
      <c r="H9" s="20" t="n">
        <v>0.02</v>
      </c>
      <c r="I9" s="21" t="n">
        <f aca="false">AVERAGE('Questionnaire &amp; Scores'!I23:I27)</f>
        <v>2.4</v>
      </c>
      <c r="J9" s="22" t="n">
        <f aca="false">H9*100*I9/4</f>
        <v>1.2</v>
      </c>
    </row>
    <row r="10" customFormat="false" ht="15" hidden="false" customHeight="false" outlineLevel="0" collapsed="false">
      <c r="A10" s="19" t="s">
        <v>230</v>
      </c>
      <c r="B10" s="20" t="n">
        <v>0.09</v>
      </c>
      <c r="C10" s="21" t="n">
        <f aca="false">AVERAGE('Questionnaire &amp; Scores'!E29:E33)</f>
        <v>3.4</v>
      </c>
      <c r="D10" s="22" t="n">
        <f aca="false">B10*100*C10/4</f>
        <v>7.65</v>
      </c>
      <c r="E10" s="20" t="n">
        <v>0.09</v>
      </c>
      <c r="F10" s="21" t="n">
        <f aca="false">AVERAGE('Questionnaire &amp; Scores'!G29:G33)</f>
        <v>3.6</v>
      </c>
      <c r="G10" s="22" t="n">
        <f aca="false">E10*100*F10/4</f>
        <v>8.1</v>
      </c>
      <c r="H10" s="20" t="n">
        <v>0.1</v>
      </c>
      <c r="I10" s="21" t="n">
        <f aca="false">AVERAGE('Questionnaire &amp; Scores'!I29:I33)</f>
        <v>2.2</v>
      </c>
      <c r="J10" s="22" t="n">
        <f aca="false">H10*100*I10/4</f>
        <v>5.5</v>
      </c>
    </row>
    <row r="11" customFormat="false" ht="15" hidden="false" customHeight="false" outlineLevel="0" collapsed="false">
      <c r="A11" s="19" t="s">
        <v>262</v>
      </c>
      <c r="B11" s="20" t="n">
        <v>0.08</v>
      </c>
      <c r="C11" s="21" t="n">
        <f aca="false">AVERAGE('Questionnaire &amp; Scores'!E35:E39)</f>
        <v>3.2</v>
      </c>
      <c r="D11" s="22" t="n">
        <f aca="false">B11*100*C11/4</f>
        <v>6.4</v>
      </c>
      <c r="E11" s="20" t="n">
        <v>0.08</v>
      </c>
      <c r="F11" s="21" t="n">
        <f aca="false">AVERAGE('Questionnaire &amp; Scores'!G35:G39)</f>
        <v>3.6</v>
      </c>
      <c r="G11" s="22" t="n">
        <f aca="false">E11*100*F11/4</f>
        <v>7.2</v>
      </c>
      <c r="H11" s="20" t="n">
        <v>0.05</v>
      </c>
      <c r="I11" s="21" t="n">
        <f aca="false">AVERAGE('Questionnaire &amp; Scores'!I35:I39)</f>
        <v>2.2</v>
      </c>
      <c r="J11" s="22" t="n">
        <f aca="false">H11*100*I11/4</f>
        <v>2.75</v>
      </c>
    </row>
    <row r="12" customFormat="false" ht="15" hidden="false" customHeight="false" outlineLevel="0" collapsed="false">
      <c r="A12" s="19" t="s">
        <v>294</v>
      </c>
      <c r="B12" s="20" t="n">
        <v>0.08</v>
      </c>
      <c r="C12" s="21" t="n">
        <f aca="false">AVERAGE('Questionnaire &amp; Scores'!E41:E45)</f>
        <v>3</v>
      </c>
      <c r="D12" s="22" t="n">
        <f aca="false">B12*100*C12/4</f>
        <v>6</v>
      </c>
      <c r="E12" s="20" t="n">
        <v>0.07</v>
      </c>
      <c r="F12" s="21" t="n">
        <f aca="false">AVERAGE('Questionnaire &amp; Scores'!G41:G45)</f>
        <v>3.4</v>
      </c>
      <c r="G12" s="22" t="n">
        <f aca="false">E12*100*F12/4</f>
        <v>5.95</v>
      </c>
      <c r="H12" s="20" t="n">
        <v>0.1</v>
      </c>
      <c r="I12" s="21" t="n">
        <f aca="false">AVERAGE('Questionnaire &amp; Scores'!I41:I45)</f>
        <v>1.8</v>
      </c>
      <c r="J12" s="22" t="n">
        <f aca="false">H12*100*I12/4</f>
        <v>4.5</v>
      </c>
    </row>
    <row r="13" customFormat="false" ht="15" hidden="false" customHeight="false" outlineLevel="0" collapsed="false">
      <c r="A13" s="19" t="s">
        <v>326</v>
      </c>
      <c r="B13" s="20" t="n">
        <v>0.12</v>
      </c>
      <c r="C13" s="21" t="n">
        <f aca="false">AVERAGE('Questionnaire &amp; Scores'!E47:E51)</f>
        <v>2.2</v>
      </c>
      <c r="D13" s="22" t="n">
        <f aca="false">B13*100*C13/4</f>
        <v>6.6</v>
      </c>
      <c r="E13" s="20" t="n">
        <v>0.1</v>
      </c>
      <c r="F13" s="21" t="n">
        <f aca="false">AVERAGE('Questionnaire &amp; Scores'!G47:G51)</f>
        <v>3.6</v>
      </c>
      <c r="G13" s="22" t="n">
        <f aca="false">E13*100*F13/4</f>
        <v>9</v>
      </c>
      <c r="H13" s="20" t="n">
        <v>0.11</v>
      </c>
      <c r="I13" s="21" t="n">
        <f aca="false">AVERAGE('Questionnaire &amp; Scores'!I47:I51)</f>
        <v>2</v>
      </c>
      <c r="J13" s="22" t="n">
        <f aca="false">H13*100*I13/4</f>
        <v>5.5</v>
      </c>
    </row>
    <row r="14" customFormat="false" ht="15" hidden="false" customHeight="false" outlineLevel="0" collapsed="false">
      <c r="A14" s="19" t="s">
        <v>359</v>
      </c>
      <c r="B14" s="20" t="n">
        <v>0.09</v>
      </c>
      <c r="C14" s="21" t="n">
        <f aca="false">AVERAGE('Questionnaire &amp; Scores'!E53:E57)</f>
        <v>3</v>
      </c>
      <c r="D14" s="22" t="n">
        <f aca="false">B14*100*C14/4</f>
        <v>6.75</v>
      </c>
      <c r="E14" s="20" t="n">
        <v>0.06</v>
      </c>
      <c r="F14" s="21" t="n">
        <f aca="false">AVERAGE('Questionnaire &amp; Scores'!G53:G57)</f>
        <v>3.2</v>
      </c>
      <c r="G14" s="22" t="n">
        <f aca="false">E14*100*F14/4</f>
        <v>4.8</v>
      </c>
      <c r="H14" s="20" t="n">
        <v>0.06</v>
      </c>
      <c r="I14" s="21" t="n">
        <f aca="false">AVERAGE('Questionnaire &amp; Scores'!I53:I57)</f>
        <v>2.4</v>
      </c>
      <c r="J14" s="22" t="n">
        <f aca="false">H14*100*I14/4</f>
        <v>3.6</v>
      </c>
    </row>
    <row r="15" customFormat="false" ht="15" hidden="false" customHeight="false" outlineLevel="0" collapsed="false">
      <c r="A15" s="19" t="s">
        <v>391</v>
      </c>
      <c r="B15" s="20" t="n">
        <v>0.03</v>
      </c>
      <c r="C15" s="21" t="n">
        <f aca="false">AVERAGE('Questionnaire &amp; Scores'!E59:E63)</f>
        <v>3</v>
      </c>
      <c r="D15" s="22" t="n">
        <f aca="false">B15*100*C15/4</f>
        <v>2.25</v>
      </c>
      <c r="E15" s="20" t="n">
        <v>0.04</v>
      </c>
      <c r="F15" s="21" t="n">
        <f aca="false">AVERAGE('Questionnaire &amp; Scores'!G59:G63)</f>
        <v>3.4</v>
      </c>
      <c r="G15" s="22" t="n">
        <f aca="false">E15*100*F15/4</f>
        <v>3.4</v>
      </c>
      <c r="H15" s="20" t="n">
        <v>0.1</v>
      </c>
      <c r="I15" s="21" t="n">
        <f aca="false">AVERAGE('Questionnaire &amp; Scores'!I59:I63)</f>
        <v>3.4</v>
      </c>
      <c r="J15" s="22" t="n">
        <f aca="false">H15*100*I15/4</f>
        <v>8.5</v>
      </c>
    </row>
    <row r="16" customFormat="false" ht="15" hidden="false" customHeight="false" outlineLevel="0" collapsed="false">
      <c r="A16" s="19" t="s">
        <v>423</v>
      </c>
      <c r="B16" s="20" t="n">
        <v>0.05</v>
      </c>
      <c r="C16" s="21" t="n">
        <f aca="false">AVERAGE('Questionnaire &amp; Scores'!E65:E69)</f>
        <v>0.4</v>
      </c>
      <c r="D16" s="22" t="n">
        <f aca="false">B16*100*C16/4</f>
        <v>0.5</v>
      </c>
      <c r="E16" s="20" t="n">
        <v>0.05</v>
      </c>
      <c r="F16" s="21" t="n">
        <f aca="false">AVERAGE('Questionnaire &amp; Scores'!G65:G69)</f>
        <v>3.4</v>
      </c>
      <c r="G16" s="22" t="n">
        <f aca="false">E16*100*F16/4</f>
        <v>4.25</v>
      </c>
      <c r="H16" s="20" t="n">
        <v>0.05</v>
      </c>
      <c r="I16" s="21" t="n">
        <f aca="false">AVERAGE('Questionnaire &amp; Scores'!I65:I69)</f>
        <v>1</v>
      </c>
      <c r="J16" s="22" t="n">
        <f aca="false">H16*100*I16/4</f>
        <v>1.25</v>
      </c>
    </row>
    <row r="17" customFormat="false" ht="15" hidden="false" customHeight="false" outlineLevel="0" collapsed="false">
      <c r="A17" s="19" t="s">
        <v>456</v>
      </c>
      <c r="B17" s="20" t="n">
        <v>0.04</v>
      </c>
      <c r="C17" s="21" t="n">
        <f aca="false">AVERAGE('Questionnaire &amp; Scores'!E71:E75)</f>
        <v>1.6</v>
      </c>
      <c r="D17" s="22" t="n">
        <f aca="false">B17*100*C17/4</f>
        <v>1.6</v>
      </c>
      <c r="E17" s="20" t="n">
        <v>0.04</v>
      </c>
      <c r="F17" s="21" t="n">
        <f aca="false">AVERAGE('Questionnaire &amp; Scores'!G71:G75)</f>
        <v>3.4</v>
      </c>
      <c r="G17" s="22" t="n">
        <f aca="false">E17*100*F17/4</f>
        <v>3.4</v>
      </c>
      <c r="H17" s="20" t="n">
        <v>0.03</v>
      </c>
      <c r="I17" s="21" t="n">
        <f aca="false">AVERAGE('Questionnaire &amp; Scores'!I71:I75)</f>
        <v>1.8</v>
      </c>
      <c r="J17" s="22" t="n">
        <f aca="false">H17*100*I17/4</f>
        <v>1.35</v>
      </c>
    </row>
    <row r="18" customFormat="false" ht="15" hidden="false" customHeight="false" outlineLevel="0" collapsed="false">
      <c r="A18" s="19" t="s">
        <v>487</v>
      </c>
      <c r="B18" s="20" t="n">
        <v>0.02</v>
      </c>
      <c r="C18" s="21" t="n">
        <f aca="false">AVERAGE('Questionnaire &amp; Scores'!E77:E81)</f>
        <v>1.4</v>
      </c>
      <c r="D18" s="22" t="n">
        <f aca="false">B18*100*C18/4</f>
        <v>0.7</v>
      </c>
      <c r="E18" s="20" t="n">
        <v>0.04</v>
      </c>
      <c r="F18" s="21" t="n">
        <f aca="false">AVERAGE('Questionnaire &amp; Scores'!G77:G81)</f>
        <v>3</v>
      </c>
      <c r="G18" s="22" t="n">
        <f aca="false">E18*100*F18/4</f>
        <v>3</v>
      </c>
      <c r="H18" s="20" t="n">
        <v>0.03</v>
      </c>
      <c r="I18" s="21" t="n">
        <f aca="false">AVERAGE('Questionnaire &amp; Scores'!I77:I81)</f>
        <v>1.2</v>
      </c>
      <c r="J18" s="22" t="n">
        <f aca="false">H18*100*I18/4</f>
        <v>0.9</v>
      </c>
    </row>
    <row r="19" customFormat="false" ht="15" hidden="false" customHeight="false" outlineLevel="0" collapsed="false">
      <c r="A19" s="23" t="s">
        <v>531</v>
      </c>
      <c r="B19" s="24" t="n">
        <f aca="false">SUM(B6:B18)</f>
        <v>1</v>
      </c>
      <c r="C19" s="25"/>
      <c r="D19" s="26" t="n">
        <f aca="false">SUM(D6:D18)</f>
        <v>72.5</v>
      </c>
      <c r="E19" s="24" t="n">
        <f aca="false">SUM(E6:E18)</f>
        <v>1</v>
      </c>
      <c r="F19" s="25"/>
      <c r="G19" s="26" t="n">
        <f aca="false">SUM(G6:G18)</f>
        <v>89.55</v>
      </c>
      <c r="H19" s="24" t="n">
        <f aca="false">SUM(H6:H18)</f>
        <v>1</v>
      </c>
      <c r="I19" s="25"/>
      <c r="J19" s="26" t="n">
        <f aca="false">SUM(J6:J18)</f>
        <v>52.2</v>
      </c>
    </row>
    <row r="21" customFormat="false" ht="15" hidden="false" customHeight="false" outlineLevel="0" collapsed="false">
      <c r="A21" s="27" t="s">
        <v>532</v>
      </c>
      <c r="B21" s="28" t="s">
        <v>533</v>
      </c>
      <c r="C21" s="28"/>
      <c r="E21" s="28" t="s">
        <v>534</v>
      </c>
      <c r="F21" s="28"/>
      <c r="H21" s="28" t="s">
        <v>535</v>
      </c>
      <c r="I21" s="28"/>
    </row>
    <row r="22" customFormat="false" ht="15" hidden="false" customHeight="false" outlineLevel="0" collapsed="false">
      <c r="A22" s="29" t="s">
        <v>536</v>
      </c>
      <c r="B22" s="30" t="n">
        <f aca="false">D19</f>
        <v>72.5</v>
      </c>
      <c r="C22" s="30"/>
      <c r="E22" s="30" t="n">
        <f aca="false">G19</f>
        <v>89.55</v>
      </c>
      <c r="F22" s="30"/>
      <c r="H22" s="30" t="n">
        <f aca="false">J19</f>
        <v>52.2</v>
      </c>
      <c r="I22" s="30"/>
    </row>
    <row r="23" customFormat="false" ht="15" hidden="false" customHeight="false" outlineLevel="0" collapsed="false">
      <c r="A23" s="29" t="s">
        <v>537</v>
      </c>
      <c r="B23" s="31" t="str">
        <f aca="false">IF(D19&gt;=85,"Low risk",IF(D19&gt;=70,"Moderate risk",IF(D19&gt;=50,"High risk","Critical risk")))</f>
        <v>Moderate risk</v>
      </c>
      <c r="C23" s="31"/>
      <c r="E23" s="31" t="str">
        <f aca="false">IF(G19&gt;=85,"Low risk",IF(G19&gt;=70,"Moderate risk",IF(G19&gt;=50,"High risk","Critical risk")))</f>
        <v>Low risk</v>
      </c>
      <c r="F23" s="31"/>
      <c r="H23" s="31" t="str">
        <f aca="false">IF(J19&gt;=85,"Low risk",IF(J19&gt;=70,"Moderate risk",IF(J19&gt;=50,"High risk","Critical risk")))</f>
        <v>High risk</v>
      </c>
      <c r="I23" s="31"/>
    </row>
    <row r="24" customFormat="false" ht="15" hidden="false" customHeight="false" outlineLevel="0" collapsed="false">
      <c r="A24" s="29" t="s">
        <v>538</v>
      </c>
      <c r="B24" s="31" t="n">
        <v>3</v>
      </c>
      <c r="C24" s="31"/>
      <c r="E24" s="31" t="n">
        <v>0</v>
      </c>
      <c r="F24" s="31"/>
      <c r="H24" s="31" t="n">
        <v>1</v>
      </c>
      <c r="I24" s="31"/>
    </row>
    <row r="25" customFormat="false" ht="15" hidden="false" customHeight="false" outlineLevel="0" collapsed="false">
      <c r="A25" s="29" t="s">
        <v>539</v>
      </c>
      <c r="B25" s="31" t="str">
        <f aca="false">IF(B24&gt;0,"Yes — one band worse","No")</f>
        <v>Yes — one band worse</v>
      </c>
      <c r="C25" s="31"/>
      <c r="E25" s="31" t="str">
        <f aca="false">IF(E24&gt;0,"Yes — one band worse","No")</f>
        <v>No</v>
      </c>
      <c r="F25" s="31"/>
      <c r="H25" s="31" t="str">
        <f aca="false">IF(H24&gt;0,"Yes — one band worse","No")</f>
        <v>Yes — one band worse</v>
      </c>
      <c r="I25" s="31"/>
    </row>
    <row r="26" customFormat="false" ht="15" hidden="false" customHeight="false" outlineLevel="0" collapsed="false">
      <c r="A26" s="29" t="s">
        <v>540</v>
      </c>
      <c r="B26" s="32" t="str">
        <f aca="false">CHOOSE(MIN(4,IF(D19&gt;=85,1,IF(D19&gt;=70,2,IF(D19&gt;=50,3,4)))+IF(B24&gt;0,1,0)),"Low risk","Moderate risk","High risk","Critical risk")</f>
        <v>High risk</v>
      </c>
      <c r="C26" s="32"/>
      <c r="E26" s="32" t="str">
        <f aca="false">CHOOSE(MIN(4,IF(G19&gt;=85,1,IF(G19&gt;=70,2,IF(G19&gt;=50,3,4)))+IF(E24&gt;0,1,0)),"Low risk","Moderate risk","High risk","Critical risk")</f>
        <v>Low risk</v>
      </c>
      <c r="F26" s="32"/>
      <c r="H26" s="32" t="str">
        <f aca="false">CHOOSE(MIN(4,IF(J19&gt;=85,1,IF(J19&gt;=70,2,IF(J19&gt;=50,3,4)))+IF(H24&gt;0,1,0)),"Low risk","Moderate risk","High risk","Critical risk")</f>
        <v>Critical risk</v>
      </c>
      <c r="I26" s="32"/>
    </row>
    <row r="27" customFormat="false" ht="42" hidden="false" customHeight="true" outlineLevel="0" collapsed="false">
      <c r="A27" s="29" t="s">
        <v>541</v>
      </c>
      <c r="B27" s="33" t="str">
        <f aca="false">CHOOSE(MIN(4,IF(D19&gt;=85,1,IF(D19&gt;=70,2,IF(D19&gt;=50,3,4)))+IF(B24&gt;0,1,0)),"Approve. Standard reassessment cycle.","Approve with conditions. Remediation plan agreed.","Approve only with ERC sign-off, compensating controls and a dated remediation plan.","Do not approve, or terminate. Exit plan required.")</f>
        <v>Approve only with ERC sign-off, compensating controls and a dated remediation plan.</v>
      </c>
      <c r="C27" s="33"/>
      <c r="E27" s="33" t="str">
        <f aca="false">CHOOSE(MIN(4,IF(G19&gt;=85,1,IF(G19&gt;=70,2,IF(G19&gt;=50,3,4)))+IF(E24&gt;0,1,0)),"Approve. Standard reassessment cycle.","Approve with conditions. Remediation plan agreed.","Approve only with ERC sign-off, compensating controls and a dated remediation plan.","Do not approve, or terminate. Exit plan required.")</f>
        <v>Approve. Standard reassessment cycle.</v>
      </c>
      <c r="F27" s="33"/>
      <c r="H27" s="33" t="str">
        <f aca="false">CHOOSE(MIN(4,IF(J19&gt;=85,1,IF(J19&gt;=70,2,IF(J19&gt;=50,3,4)))+IF(H24&gt;0,1,0)),"Approve. Standard reassessment cycle.","Approve with conditions. Remediation plan agreed.","Approve only with ERC sign-off, compensating controls and a dated remediation plan.","Do not approve, or terminate. Exit plan required.")</f>
        <v>Do not approve, or terminate. Exit plan required.</v>
      </c>
      <c r="I27" s="33"/>
    </row>
    <row r="28" customFormat="false" ht="57.75" hidden="false" customHeight="true" outlineLevel="0" collapsed="false">
      <c r="A28" s="29" t="s">
        <v>542</v>
      </c>
      <c r="B28" s="33" t="s">
        <v>543</v>
      </c>
      <c r="C28" s="33"/>
      <c r="E28" s="33" t="s">
        <v>544</v>
      </c>
      <c r="F28" s="33"/>
      <c r="H28" s="33" t="s">
        <v>545</v>
      </c>
      <c r="I28" s="33"/>
    </row>
    <row r="30" customFormat="false" ht="15" hidden="false" customHeight="true" outlineLevel="0" collapsed="false">
      <c r="A30" s="34" t="s">
        <v>546</v>
      </c>
      <c r="B30" s="34"/>
      <c r="C30" s="34"/>
      <c r="D30" s="34"/>
      <c r="E30" s="34"/>
      <c r="F30" s="34"/>
      <c r="G30" s="34"/>
      <c r="H30" s="34"/>
      <c r="I30" s="34"/>
      <c r="J30" s="34"/>
    </row>
    <row r="31" customFormat="false" ht="15" hidden="false" customHeight="false" outlineLevel="0" collapsed="false">
      <c r="A31" s="34"/>
      <c r="B31" s="34"/>
      <c r="C31" s="34"/>
      <c r="D31" s="34"/>
      <c r="E31" s="34"/>
      <c r="F31" s="34"/>
      <c r="G31" s="34"/>
      <c r="H31" s="34"/>
      <c r="I31" s="34"/>
      <c r="J31" s="34"/>
    </row>
    <row r="32" customFormat="false" ht="15" hidden="false" customHeight="false" outlineLevel="0" collapsed="false">
      <c r="A32" s="34"/>
      <c r="B32" s="34"/>
      <c r="C32" s="34"/>
      <c r="D32" s="34"/>
      <c r="E32" s="34"/>
      <c r="F32" s="34"/>
      <c r="G32" s="34"/>
      <c r="H32" s="34"/>
      <c r="I32" s="34"/>
      <c r="J32" s="34"/>
    </row>
    <row r="33" customFormat="false" ht="15" hidden="false" customHeight="false" outlineLevel="0" collapsed="false">
      <c r="A33" s="34"/>
      <c r="B33" s="34"/>
      <c r="C33" s="34"/>
      <c r="D33" s="34"/>
      <c r="E33" s="34"/>
      <c r="F33" s="34"/>
      <c r="G33" s="34"/>
      <c r="H33" s="34"/>
      <c r="I33" s="34"/>
      <c r="J33" s="34"/>
    </row>
    <row r="34" customFormat="false" ht="15" hidden="false" customHeight="false" outlineLevel="0" collapsed="false">
      <c r="A34" s="34"/>
      <c r="B34" s="34"/>
      <c r="C34" s="34"/>
      <c r="D34" s="34"/>
      <c r="E34" s="34"/>
      <c r="F34" s="34"/>
      <c r="G34" s="34"/>
      <c r="H34" s="34"/>
      <c r="I34" s="34"/>
      <c r="J34" s="34"/>
    </row>
    <row r="35" customFormat="false" ht="15" hidden="false" customHeight="false" outlineLevel="0" collapsed="false">
      <c r="A35" s="34"/>
      <c r="B35" s="34"/>
      <c r="C35" s="34"/>
      <c r="D35" s="34"/>
      <c r="E35" s="34"/>
      <c r="F35" s="34"/>
      <c r="G35" s="34"/>
      <c r="H35" s="34"/>
      <c r="I35" s="34"/>
      <c r="J35" s="34"/>
    </row>
  </sheetData>
  <mergeCells count="28">
    <mergeCell ref="A1:J1"/>
    <mergeCell ref="A2:J2"/>
    <mergeCell ref="A4:H4"/>
    <mergeCell ref="B21:C21"/>
    <mergeCell ref="E21:F21"/>
    <mergeCell ref="H21:I21"/>
    <mergeCell ref="B22:C22"/>
    <mergeCell ref="E22:F22"/>
    <mergeCell ref="H22:I22"/>
    <mergeCell ref="B23:C23"/>
    <mergeCell ref="E23:F23"/>
    <mergeCell ref="H23:I23"/>
    <mergeCell ref="B24:C24"/>
    <mergeCell ref="E24:F24"/>
    <mergeCell ref="H24:I24"/>
    <mergeCell ref="B25:C25"/>
    <mergeCell ref="E25:F25"/>
    <mergeCell ref="H25:I25"/>
    <mergeCell ref="B26:C26"/>
    <mergeCell ref="E26:F26"/>
    <mergeCell ref="H26:I26"/>
    <mergeCell ref="B27:C27"/>
    <mergeCell ref="E27:F27"/>
    <mergeCell ref="H27:I27"/>
    <mergeCell ref="B28:C28"/>
    <mergeCell ref="E28:F28"/>
    <mergeCell ref="H28:I28"/>
    <mergeCell ref="A30:J35"/>
  </mergeCells>
  <conditionalFormatting sqref="B23:J23">
    <cfRule type="cellIs" priority="2" operator="equal" aboveAverage="0" equalAverage="0" bottom="0" percent="0" rank="0" text="" dxfId="0">
      <formula>"Critical risk"</formula>
    </cfRule>
    <cfRule type="cellIs" priority="3" operator="equal" aboveAverage="0" equalAverage="0" bottom="0" percent="0" rank="0" text="" dxfId="1">
      <formula>"High risk"</formula>
    </cfRule>
    <cfRule type="cellIs" priority="4" operator="equal" aboveAverage="0" equalAverage="0" bottom="0" percent="0" rank="0" text="" dxfId="2">
      <formula>"Moderate risk"</formula>
    </cfRule>
    <cfRule type="cellIs" priority="5" operator="equal" aboveAverage="0" equalAverage="0" bottom="0" percent="0" rank="0" text="" dxfId="3">
      <formula>"Low risk"</formula>
    </cfRule>
  </conditionalFormatting>
  <conditionalFormatting sqref="B26:J26">
    <cfRule type="cellIs" priority="6" operator="equal" aboveAverage="0" equalAverage="0" bottom="0" percent="0" rank="0" text="" dxfId="0">
      <formula>"Critical risk"</formula>
    </cfRule>
    <cfRule type="cellIs" priority="7" operator="equal" aboveAverage="0" equalAverage="0" bottom="0" percent="0" rank="0" text="" dxfId="1">
      <formula>"High risk"</formula>
    </cfRule>
    <cfRule type="cellIs" priority="8" operator="equal" aboveAverage="0" equalAverage="0" bottom="0" percent="0" rank="0" text="" dxfId="2">
      <formula>"Moderate risk"</formula>
    </cfRule>
    <cfRule type="cellIs" priority="9" operator="equal" aboveAverage="0" equalAverage="0" bottom="0" percent="0" rank="0" text="" dxfId="3">
      <formula>"Low risk"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9"/>
    <col collapsed="false" customWidth="true" hidden="false" outlineLevel="0" max="4" min="4" style="0" width="11"/>
    <col collapsed="false" customWidth="true" hidden="false" outlineLevel="0" max="6" min="5" style="0" width="74"/>
    <col collapsed="false" customWidth="true" hidden="false" outlineLevel="0" max="7" min="7" style="0" width="17"/>
    <col collapsed="false" customWidth="true" hidden="false" outlineLevel="0" max="8" min="8" style="0" width="44"/>
  </cols>
  <sheetData>
    <row r="1" customFormat="false" ht="21.75" hidden="false" customHeight="true" outlineLevel="0" collapsed="false">
      <c r="A1" s="1" t="s">
        <v>547</v>
      </c>
      <c r="B1" s="1"/>
      <c r="C1" s="1"/>
      <c r="D1" s="1"/>
      <c r="E1" s="1"/>
      <c r="F1" s="1"/>
      <c r="G1" s="1"/>
      <c r="H1" s="1"/>
    </row>
    <row r="2" customFormat="false" ht="15" hidden="false" customHeight="false" outlineLevel="0" collapsed="false">
      <c r="A2" s="2" t="s">
        <v>548</v>
      </c>
      <c r="B2" s="2"/>
      <c r="C2" s="2"/>
      <c r="D2" s="2"/>
      <c r="E2" s="2"/>
      <c r="F2" s="2"/>
      <c r="G2" s="2"/>
      <c r="H2" s="2"/>
    </row>
    <row r="3" customFormat="false" ht="27.75" hidden="false" customHeight="true" outlineLevel="0" collapsed="false">
      <c r="A3" s="8" t="s">
        <v>549</v>
      </c>
      <c r="B3" s="8" t="s">
        <v>550</v>
      </c>
      <c r="C3" s="8" t="s">
        <v>90</v>
      </c>
      <c r="D3" s="8" t="s">
        <v>551</v>
      </c>
      <c r="E3" s="8" t="s">
        <v>552</v>
      </c>
      <c r="F3" s="8" t="s">
        <v>553</v>
      </c>
      <c r="G3" s="8" t="s">
        <v>554</v>
      </c>
      <c r="H3" s="8" t="s">
        <v>555</v>
      </c>
    </row>
    <row r="4" customFormat="false" ht="32.8" hidden="false" customHeight="false" outlineLevel="0" collapsed="false">
      <c r="A4" s="11" t="s">
        <v>51</v>
      </c>
      <c r="B4" s="11" t="s">
        <v>556</v>
      </c>
      <c r="C4" s="7" t="s">
        <v>425</v>
      </c>
      <c r="D4" s="16" t="s">
        <v>557</v>
      </c>
      <c r="E4" s="7" t="s">
        <v>558</v>
      </c>
      <c r="F4" s="7" t="s">
        <v>559</v>
      </c>
      <c r="G4" s="7" t="s">
        <v>560</v>
      </c>
      <c r="H4" s="7" t="s">
        <v>561</v>
      </c>
    </row>
    <row r="5" customFormat="false" ht="32.8" hidden="false" customHeight="false" outlineLevel="0" collapsed="false">
      <c r="A5" s="35" t="s">
        <v>51</v>
      </c>
      <c r="B5" s="35" t="s">
        <v>562</v>
      </c>
      <c r="C5" s="36" t="s">
        <v>328</v>
      </c>
      <c r="D5" s="16" t="s">
        <v>557</v>
      </c>
      <c r="E5" s="36" t="s">
        <v>563</v>
      </c>
      <c r="F5" s="36" t="s">
        <v>564</v>
      </c>
      <c r="G5" s="36" t="s">
        <v>560</v>
      </c>
      <c r="H5" s="36" t="s">
        <v>565</v>
      </c>
    </row>
    <row r="6" customFormat="false" ht="32.8" hidden="false" customHeight="false" outlineLevel="0" collapsed="false">
      <c r="A6" s="11" t="s">
        <v>51</v>
      </c>
      <c r="B6" s="11" t="s">
        <v>566</v>
      </c>
      <c r="C6" s="7" t="s">
        <v>101</v>
      </c>
      <c r="D6" s="17" t="s">
        <v>567</v>
      </c>
      <c r="E6" s="7" t="s">
        <v>568</v>
      </c>
      <c r="F6" s="7" t="s">
        <v>569</v>
      </c>
      <c r="G6" s="7" t="s">
        <v>570</v>
      </c>
      <c r="H6" s="7" t="s">
        <v>571</v>
      </c>
    </row>
    <row r="7" customFormat="false" ht="32.8" hidden="false" customHeight="false" outlineLevel="0" collapsed="false">
      <c r="A7" s="35" t="s">
        <v>51</v>
      </c>
      <c r="B7" s="35" t="s">
        <v>572</v>
      </c>
      <c r="C7" s="36" t="s">
        <v>167</v>
      </c>
      <c r="D7" s="14" t="s">
        <v>573</v>
      </c>
      <c r="E7" s="36" t="s">
        <v>574</v>
      </c>
      <c r="F7" s="36" t="s">
        <v>575</v>
      </c>
      <c r="G7" s="36" t="s">
        <v>576</v>
      </c>
      <c r="H7" s="36" t="s">
        <v>577</v>
      </c>
    </row>
    <row r="8" customFormat="false" ht="22.35" hidden="false" customHeight="false" outlineLevel="0" collapsed="false">
      <c r="A8" s="11" t="s">
        <v>51</v>
      </c>
      <c r="B8" s="11" t="s">
        <v>578</v>
      </c>
      <c r="C8" s="7" t="s">
        <v>328</v>
      </c>
      <c r="D8" s="14" t="s">
        <v>573</v>
      </c>
      <c r="E8" s="7" t="s">
        <v>579</v>
      </c>
      <c r="F8" s="7" t="s">
        <v>580</v>
      </c>
      <c r="G8" s="7" t="s">
        <v>560</v>
      </c>
      <c r="H8" s="7" t="s">
        <v>581</v>
      </c>
    </row>
    <row r="9" customFormat="false" ht="22.35" hidden="false" customHeight="false" outlineLevel="0" collapsed="false">
      <c r="A9" s="35" t="s">
        <v>51</v>
      </c>
      <c r="B9" s="35" t="s">
        <v>582</v>
      </c>
      <c r="C9" s="36" t="s">
        <v>134</v>
      </c>
      <c r="D9" s="12" t="s">
        <v>583</v>
      </c>
      <c r="E9" s="36" t="s">
        <v>584</v>
      </c>
      <c r="F9" s="36" t="s">
        <v>585</v>
      </c>
      <c r="G9" s="36" t="s">
        <v>586</v>
      </c>
      <c r="H9" s="36" t="s">
        <v>587</v>
      </c>
    </row>
    <row r="10" customFormat="false" ht="22.35" hidden="false" customHeight="false" outlineLevel="0" collapsed="false">
      <c r="A10" s="11" t="s">
        <v>52</v>
      </c>
      <c r="B10" s="11" t="s">
        <v>588</v>
      </c>
      <c r="C10" s="7" t="s">
        <v>295</v>
      </c>
      <c r="D10" s="14" t="s">
        <v>573</v>
      </c>
      <c r="E10" s="7" t="s">
        <v>589</v>
      </c>
      <c r="F10" s="7" t="s">
        <v>590</v>
      </c>
      <c r="G10" s="7" t="s">
        <v>591</v>
      </c>
      <c r="H10" s="7" t="s">
        <v>592</v>
      </c>
    </row>
    <row r="11" customFormat="false" ht="15" hidden="false" customHeight="false" outlineLevel="0" collapsed="false">
      <c r="A11" s="35" t="s">
        <v>52</v>
      </c>
      <c r="B11" s="35" t="s">
        <v>593</v>
      </c>
      <c r="C11" s="36" t="s">
        <v>425</v>
      </c>
      <c r="D11" s="12" t="s">
        <v>583</v>
      </c>
      <c r="E11" s="36" t="s">
        <v>594</v>
      </c>
      <c r="F11" s="36" t="s">
        <v>595</v>
      </c>
      <c r="G11" s="36" t="s">
        <v>596</v>
      </c>
      <c r="H11" s="36" t="s">
        <v>597</v>
      </c>
    </row>
    <row r="12" customFormat="false" ht="22.35" hidden="false" customHeight="false" outlineLevel="0" collapsed="false">
      <c r="A12" s="11" t="s">
        <v>52</v>
      </c>
      <c r="B12" s="11" t="s">
        <v>598</v>
      </c>
      <c r="C12" s="7" t="s">
        <v>167</v>
      </c>
      <c r="D12" s="12" t="s">
        <v>583</v>
      </c>
      <c r="E12" s="7" t="s">
        <v>599</v>
      </c>
      <c r="F12" s="7" t="s">
        <v>600</v>
      </c>
      <c r="G12" s="7" t="s">
        <v>601</v>
      </c>
      <c r="H12" s="7" t="s">
        <v>602</v>
      </c>
    </row>
    <row r="13" customFormat="false" ht="32.8" hidden="false" customHeight="false" outlineLevel="0" collapsed="false">
      <c r="A13" s="35" t="s">
        <v>53</v>
      </c>
      <c r="B13" s="35" t="s">
        <v>603</v>
      </c>
      <c r="C13" s="36" t="s">
        <v>134</v>
      </c>
      <c r="D13" s="16" t="s">
        <v>557</v>
      </c>
      <c r="E13" s="36" t="s">
        <v>604</v>
      </c>
      <c r="F13" s="36" t="s">
        <v>605</v>
      </c>
      <c r="G13" s="36" t="s">
        <v>606</v>
      </c>
      <c r="H13" s="36" t="s">
        <v>607</v>
      </c>
    </row>
    <row r="14" customFormat="false" ht="32.8" hidden="false" customHeight="false" outlineLevel="0" collapsed="false">
      <c r="A14" s="11" t="s">
        <v>53</v>
      </c>
      <c r="B14" s="11" t="s">
        <v>608</v>
      </c>
      <c r="C14" s="7" t="s">
        <v>231</v>
      </c>
      <c r="D14" s="16" t="s">
        <v>557</v>
      </c>
      <c r="E14" s="7" t="s">
        <v>609</v>
      </c>
      <c r="F14" s="7" t="s">
        <v>610</v>
      </c>
      <c r="G14" s="7" t="s">
        <v>560</v>
      </c>
      <c r="H14" s="7" t="s">
        <v>611</v>
      </c>
    </row>
    <row r="15" customFormat="false" ht="22.35" hidden="false" customHeight="false" outlineLevel="0" collapsed="false">
      <c r="A15" s="35" t="s">
        <v>53</v>
      </c>
      <c r="B15" s="35" t="s">
        <v>612</v>
      </c>
      <c r="C15" s="36" t="s">
        <v>425</v>
      </c>
      <c r="D15" s="17" t="s">
        <v>567</v>
      </c>
      <c r="E15" s="36" t="s">
        <v>613</v>
      </c>
      <c r="F15" s="36" t="s">
        <v>614</v>
      </c>
      <c r="G15" s="36" t="s">
        <v>576</v>
      </c>
      <c r="H15" s="36" t="s">
        <v>615</v>
      </c>
    </row>
    <row r="16" customFormat="false" ht="32.8" hidden="false" customHeight="false" outlineLevel="0" collapsed="false">
      <c r="A16" s="11" t="s">
        <v>53</v>
      </c>
      <c r="B16" s="11" t="s">
        <v>616</v>
      </c>
      <c r="C16" s="7" t="s">
        <v>167</v>
      </c>
      <c r="D16" s="17" t="s">
        <v>567</v>
      </c>
      <c r="E16" s="7" t="s">
        <v>617</v>
      </c>
      <c r="F16" s="7" t="s">
        <v>618</v>
      </c>
      <c r="G16" s="7" t="s">
        <v>591</v>
      </c>
      <c r="H16" s="7" t="s">
        <v>619</v>
      </c>
    </row>
    <row r="17" customFormat="false" ht="32.8" hidden="false" customHeight="false" outlineLevel="0" collapsed="false">
      <c r="A17" s="35" t="s">
        <v>53</v>
      </c>
      <c r="B17" s="35" t="s">
        <v>620</v>
      </c>
      <c r="C17" s="36" t="s">
        <v>328</v>
      </c>
      <c r="D17" s="17" t="s">
        <v>567</v>
      </c>
      <c r="E17" s="36" t="s">
        <v>621</v>
      </c>
      <c r="F17" s="36" t="s">
        <v>622</v>
      </c>
      <c r="G17" s="36" t="s">
        <v>560</v>
      </c>
      <c r="H17" s="36" t="s">
        <v>623</v>
      </c>
    </row>
    <row r="18" customFormat="false" ht="22.35" hidden="false" customHeight="false" outlineLevel="0" collapsed="false">
      <c r="A18" s="11" t="s">
        <v>53</v>
      </c>
      <c r="B18" s="11" t="s">
        <v>624</v>
      </c>
      <c r="C18" s="7" t="s">
        <v>263</v>
      </c>
      <c r="D18" s="17" t="s">
        <v>567</v>
      </c>
      <c r="E18" s="7" t="s">
        <v>625</v>
      </c>
      <c r="F18" s="7" t="s">
        <v>626</v>
      </c>
      <c r="G18" s="7" t="s">
        <v>591</v>
      </c>
      <c r="H18" s="7" t="s">
        <v>627</v>
      </c>
    </row>
    <row r="19" customFormat="false" ht="53.7" hidden="false" customHeight="false" outlineLevel="0" collapsed="false">
      <c r="A19" s="35" t="s">
        <v>51</v>
      </c>
      <c r="B19" s="35" t="s">
        <v>628</v>
      </c>
      <c r="C19" s="36" t="s">
        <v>425</v>
      </c>
      <c r="D19" s="16" t="s">
        <v>557</v>
      </c>
      <c r="E19" s="36" t="s">
        <v>629</v>
      </c>
      <c r="F19" s="36" t="s">
        <v>630</v>
      </c>
      <c r="G19" s="36" t="s">
        <v>560</v>
      </c>
      <c r="H19" s="36" t="s">
        <v>631</v>
      </c>
    </row>
    <row r="20" customFormat="false" ht="53.7" hidden="false" customHeight="false" outlineLevel="0" collapsed="false">
      <c r="A20" s="11" t="s">
        <v>53</v>
      </c>
      <c r="B20" s="11" t="s">
        <v>632</v>
      </c>
      <c r="C20" s="7" t="s">
        <v>101</v>
      </c>
      <c r="D20" s="17" t="s">
        <v>567</v>
      </c>
      <c r="E20" s="7" t="s">
        <v>633</v>
      </c>
      <c r="F20" s="7" t="s">
        <v>634</v>
      </c>
      <c r="G20" s="7" t="s">
        <v>576</v>
      </c>
      <c r="H20" s="7" t="s">
        <v>635</v>
      </c>
    </row>
    <row r="21" customFormat="false" ht="64.15" hidden="false" customHeight="false" outlineLevel="0" collapsed="false">
      <c r="A21" s="35" t="s">
        <v>53</v>
      </c>
      <c r="B21" s="35" t="s">
        <v>636</v>
      </c>
      <c r="C21" s="36" t="s">
        <v>101</v>
      </c>
      <c r="D21" s="17" t="s">
        <v>567</v>
      </c>
      <c r="E21" s="36" t="s">
        <v>637</v>
      </c>
      <c r="F21" s="36" t="s">
        <v>638</v>
      </c>
      <c r="G21" s="36" t="s">
        <v>639</v>
      </c>
      <c r="H21" s="36" t="s">
        <v>640</v>
      </c>
    </row>
  </sheetData>
  <autoFilter ref="A3:H21"/>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40"/>
    <col collapsed="false" customWidth="true" hidden="false" outlineLevel="0" max="4" min="4" style="0" width="15"/>
    <col collapsed="false" customWidth="true" hidden="false" outlineLevel="0" max="5" min="5" style="0" width="13"/>
    <col collapsed="false" customWidth="true" hidden="false" outlineLevel="0" max="6" min="6" style="0" width="17"/>
    <col collapsed="false" customWidth="true" hidden="false" outlineLevel="0" max="7" min="7" style="0" width="62"/>
  </cols>
  <sheetData>
    <row r="1" customFormat="false" ht="21.75" hidden="false" customHeight="true" outlineLevel="0" collapsed="false">
      <c r="A1" s="1" t="s">
        <v>641</v>
      </c>
      <c r="B1" s="1"/>
      <c r="C1" s="1"/>
      <c r="D1" s="1"/>
      <c r="E1" s="1"/>
      <c r="F1" s="1"/>
      <c r="G1" s="1"/>
    </row>
    <row r="2" customFormat="false" ht="15" hidden="false" customHeight="false" outlineLevel="0" collapsed="false">
      <c r="A2" s="2" t="s">
        <v>642</v>
      </c>
      <c r="B2" s="2"/>
      <c r="C2" s="2"/>
      <c r="D2" s="2"/>
      <c r="E2" s="2"/>
      <c r="F2" s="2"/>
      <c r="G2" s="2"/>
    </row>
    <row r="3" customFormat="false" ht="24" hidden="false" customHeight="true" outlineLevel="0" collapsed="false">
      <c r="A3" s="8" t="s">
        <v>549</v>
      </c>
      <c r="B3" s="8" t="s">
        <v>643</v>
      </c>
      <c r="C3" s="8" t="s">
        <v>644</v>
      </c>
      <c r="D3" s="8" t="s">
        <v>645</v>
      </c>
      <c r="E3" s="8" t="s">
        <v>646</v>
      </c>
      <c r="F3" s="8" t="s">
        <v>647</v>
      </c>
      <c r="G3" s="8" t="s">
        <v>648</v>
      </c>
    </row>
    <row r="4" customFormat="false" ht="15" hidden="false" customHeight="false" outlineLevel="0" collapsed="false">
      <c r="A4" s="11" t="s">
        <v>51</v>
      </c>
      <c r="B4" s="7" t="s">
        <v>649</v>
      </c>
      <c r="C4" s="7" t="s">
        <v>650</v>
      </c>
      <c r="D4" s="7" t="s">
        <v>651</v>
      </c>
      <c r="E4" s="7" t="s">
        <v>652</v>
      </c>
      <c r="F4" s="7" t="s">
        <v>653</v>
      </c>
      <c r="G4" s="7" t="s">
        <v>654</v>
      </c>
    </row>
    <row r="5" customFormat="false" ht="22.35" hidden="false" customHeight="false" outlineLevel="0" collapsed="false">
      <c r="A5" s="35" t="s">
        <v>51</v>
      </c>
      <c r="B5" s="36" t="s">
        <v>655</v>
      </c>
      <c r="C5" s="36" t="s">
        <v>656</v>
      </c>
      <c r="D5" s="7" t="s">
        <v>657</v>
      </c>
      <c r="E5" s="36" t="s">
        <v>652</v>
      </c>
      <c r="F5" s="36" t="s">
        <v>653</v>
      </c>
      <c r="G5" s="36" t="s">
        <v>658</v>
      </c>
    </row>
    <row r="6" customFormat="false" ht="15" hidden="false" customHeight="false" outlineLevel="0" collapsed="false">
      <c r="A6" s="11" t="s">
        <v>51</v>
      </c>
      <c r="B6" s="7" t="s">
        <v>659</v>
      </c>
      <c r="C6" s="7" t="s">
        <v>660</v>
      </c>
      <c r="D6" s="7" t="s">
        <v>651</v>
      </c>
      <c r="E6" s="7" t="s">
        <v>652</v>
      </c>
      <c r="F6" s="7" t="s">
        <v>653</v>
      </c>
      <c r="G6" s="7" t="s">
        <v>661</v>
      </c>
    </row>
    <row r="7" customFormat="false" ht="15" hidden="false" customHeight="false" outlineLevel="0" collapsed="false">
      <c r="A7" s="35" t="s">
        <v>51</v>
      </c>
      <c r="B7" s="36" t="s">
        <v>662</v>
      </c>
      <c r="C7" s="36" t="s">
        <v>663</v>
      </c>
      <c r="D7" s="7" t="s">
        <v>651</v>
      </c>
      <c r="E7" s="36" t="s">
        <v>664</v>
      </c>
      <c r="F7" s="36" t="s">
        <v>665</v>
      </c>
      <c r="G7" s="36" t="s">
        <v>666</v>
      </c>
    </row>
    <row r="8" customFormat="false" ht="15" hidden="false" customHeight="false" outlineLevel="0" collapsed="false">
      <c r="A8" s="11" t="s">
        <v>51</v>
      </c>
      <c r="B8" s="7" t="s">
        <v>667</v>
      </c>
      <c r="C8" s="7" t="s">
        <v>668</v>
      </c>
      <c r="D8" s="7" t="s">
        <v>651</v>
      </c>
      <c r="E8" s="7" t="s">
        <v>664</v>
      </c>
      <c r="F8" s="7" t="s">
        <v>665</v>
      </c>
      <c r="G8" s="7" t="s">
        <v>669</v>
      </c>
    </row>
    <row r="9" customFormat="false" ht="15" hidden="false" customHeight="false" outlineLevel="0" collapsed="false">
      <c r="A9" s="35" t="s">
        <v>51</v>
      </c>
      <c r="B9" s="36" t="s">
        <v>670</v>
      </c>
      <c r="C9" s="36" t="s">
        <v>671</v>
      </c>
      <c r="D9" s="37" t="s">
        <v>672</v>
      </c>
      <c r="E9" s="36" t="s">
        <v>673</v>
      </c>
      <c r="F9" s="36" t="s">
        <v>665</v>
      </c>
      <c r="G9" s="36" t="s">
        <v>674</v>
      </c>
    </row>
    <row r="10" customFormat="false" ht="15" hidden="false" customHeight="false" outlineLevel="0" collapsed="false">
      <c r="A10" s="11" t="s">
        <v>52</v>
      </c>
      <c r="B10" s="7" t="s">
        <v>675</v>
      </c>
      <c r="C10" s="7" t="s">
        <v>676</v>
      </c>
      <c r="D10" s="7" t="s">
        <v>651</v>
      </c>
      <c r="E10" s="7" t="s">
        <v>652</v>
      </c>
      <c r="F10" s="7" t="s">
        <v>653</v>
      </c>
      <c r="G10" s="7" t="s">
        <v>677</v>
      </c>
    </row>
    <row r="11" customFormat="false" ht="15" hidden="false" customHeight="false" outlineLevel="0" collapsed="false">
      <c r="A11" s="35" t="s">
        <v>52</v>
      </c>
      <c r="B11" s="36" t="s">
        <v>678</v>
      </c>
      <c r="C11" s="36" t="s">
        <v>679</v>
      </c>
      <c r="D11" s="7" t="s">
        <v>651</v>
      </c>
      <c r="E11" s="36" t="s">
        <v>652</v>
      </c>
      <c r="F11" s="36" t="s">
        <v>653</v>
      </c>
      <c r="G11" s="36" t="s">
        <v>680</v>
      </c>
    </row>
    <row r="12" customFormat="false" ht="15" hidden="false" customHeight="false" outlineLevel="0" collapsed="false">
      <c r="A12" s="11" t="s">
        <v>52</v>
      </c>
      <c r="B12" s="7" t="s">
        <v>681</v>
      </c>
      <c r="C12" s="7" t="s">
        <v>682</v>
      </c>
      <c r="D12" s="7" t="s">
        <v>651</v>
      </c>
      <c r="E12" s="7" t="s">
        <v>652</v>
      </c>
      <c r="F12" s="7" t="s">
        <v>665</v>
      </c>
      <c r="G12" s="7" t="s">
        <v>683</v>
      </c>
    </row>
    <row r="13" customFormat="false" ht="15" hidden="false" customHeight="false" outlineLevel="0" collapsed="false">
      <c r="A13" s="35" t="s">
        <v>52</v>
      </c>
      <c r="B13" s="36" t="s">
        <v>684</v>
      </c>
      <c r="C13" s="36" t="s">
        <v>685</v>
      </c>
      <c r="D13" s="7" t="s">
        <v>651</v>
      </c>
      <c r="E13" s="36" t="s">
        <v>664</v>
      </c>
      <c r="F13" s="36" t="s">
        <v>665</v>
      </c>
      <c r="G13" s="36" t="s">
        <v>686</v>
      </c>
    </row>
    <row r="14" customFormat="false" ht="15" hidden="false" customHeight="false" outlineLevel="0" collapsed="false">
      <c r="A14" s="11" t="s">
        <v>52</v>
      </c>
      <c r="B14" s="7" t="s">
        <v>687</v>
      </c>
      <c r="C14" s="7" t="s">
        <v>688</v>
      </c>
      <c r="D14" s="7" t="s">
        <v>651</v>
      </c>
      <c r="E14" s="7" t="s">
        <v>664</v>
      </c>
      <c r="F14" s="7" t="s">
        <v>653</v>
      </c>
      <c r="G14" s="7" t="s">
        <v>689</v>
      </c>
    </row>
    <row r="15" customFormat="false" ht="15" hidden="false" customHeight="false" outlineLevel="0" collapsed="false">
      <c r="A15" s="35" t="s">
        <v>53</v>
      </c>
      <c r="B15" s="36" t="s">
        <v>690</v>
      </c>
      <c r="C15" s="36" t="s">
        <v>691</v>
      </c>
      <c r="D15" s="7" t="s">
        <v>692</v>
      </c>
      <c r="E15" s="36" t="s">
        <v>664</v>
      </c>
      <c r="F15" s="36" t="s">
        <v>653</v>
      </c>
      <c r="G15" s="36" t="s">
        <v>693</v>
      </c>
    </row>
    <row r="16" customFormat="false" ht="15" hidden="false" customHeight="false" outlineLevel="0" collapsed="false">
      <c r="A16" s="11" t="s">
        <v>53</v>
      </c>
      <c r="B16" s="7" t="s">
        <v>694</v>
      </c>
      <c r="C16" s="7" t="s">
        <v>695</v>
      </c>
      <c r="D16" s="7" t="s">
        <v>692</v>
      </c>
      <c r="E16" s="7" t="s">
        <v>664</v>
      </c>
      <c r="F16" s="7" t="s">
        <v>653</v>
      </c>
      <c r="G16" s="7" t="s">
        <v>696</v>
      </c>
    </row>
    <row r="17" customFormat="false" ht="15" hidden="false" customHeight="false" outlineLevel="0" collapsed="false">
      <c r="A17" s="35" t="s">
        <v>53</v>
      </c>
      <c r="B17" s="36" t="s">
        <v>697</v>
      </c>
      <c r="C17" s="36" t="s">
        <v>698</v>
      </c>
      <c r="D17" s="7" t="s">
        <v>651</v>
      </c>
      <c r="E17" s="36" t="s">
        <v>664</v>
      </c>
      <c r="F17" s="36" t="s">
        <v>665</v>
      </c>
      <c r="G17" s="36" t="s">
        <v>699</v>
      </c>
    </row>
    <row r="18" customFormat="false" ht="15" hidden="false" customHeight="false" outlineLevel="0" collapsed="false">
      <c r="A18" s="11" t="s">
        <v>53</v>
      </c>
      <c r="B18" s="7" t="s">
        <v>700</v>
      </c>
      <c r="C18" s="7" t="s">
        <v>701</v>
      </c>
      <c r="D18" s="7" t="s">
        <v>651</v>
      </c>
      <c r="E18" s="7" t="s">
        <v>673</v>
      </c>
      <c r="F18" s="7" t="s">
        <v>653</v>
      </c>
      <c r="G18" s="7" t="s">
        <v>702</v>
      </c>
    </row>
    <row r="19" customFormat="false" ht="15" hidden="false" customHeight="false" outlineLevel="0" collapsed="false">
      <c r="A19" s="35" t="s">
        <v>53</v>
      </c>
      <c r="B19" s="36" t="s">
        <v>703</v>
      </c>
      <c r="C19" s="36" t="s">
        <v>704</v>
      </c>
      <c r="D19" s="7" t="s">
        <v>705</v>
      </c>
      <c r="E19" s="36" t="s">
        <v>673</v>
      </c>
      <c r="F19" s="36" t="s">
        <v>653</v>
      </c>
      <c r="G19" s="36" t="s">
        <v>706</v>
      </c>
    </row>
    <row r="20" customFormat="false" ht="15" hidden="false" customHeight="false" outlineLevel="0" collapsed="false">
      <c r="A20" s="11" t="s">
        <v>53</v>
      </c>
      <c r="B20" s="7" t="s">
        <v>655</v>
      </c>
      <c r="C20" s="7" t="s">
        <v>671</v>
      </c>
      <c r="D20" s="37" t="s">
        <v>672</v>
      </c>
      <c r="E20" s="7" t="s">
        <v>673</v>
      </c>
      <c r="F20" s="7" t="s">
        <v>653</v>
      </c>
      <c r="G20" s="7" t="s">
        <v>707</v>
      </c>
    </row>
    <row r="21" customFormat="false" ht="15" hidden="false" customHeight="false" outlineLevel="0" collapsed="false">
      <c r="A21" s="35" t="s">
        <v>53</v>
      </c>
      <c r="B21" s="36" t="s">
        <v>708</v>
      </c>
      <c r="C21" s="36" t="s">
        <v>709</v>
      </c>
      <c r="D21" s="7" t="s">
        <v>651</v>
      </c>
      <c r="E21" s="36" t="s">
        <v>673</v>
      </c>
      <c r="F21" s="36" t="s">
        <v>665</v>
      </c>
      <c r="G21" s="36" t="s">
        <v>710</v>
      </c>
    </row>
    <row r="23" customFormat="false" ht="15" hidden="false" customHeight="true" outlineLevel="0" collapsed="false">
      <c r="A23" s="34" t="s">
        <v>711</v>
      </c>
      <c r="B23" s="34"/>
      <c r="C23" s="34"/>
      <c r="D23" s="34"/>
      <c r="E23" s="34"/>
      <c r="F23" s="34"/>
      <c r="G23" s="34"/>
    </row>
    <row r="24" customFormat="false" ht="15" hidden="false" customHeight="false" outlineLevel="0" collapsed="false">
      <c r="A24" s="34"/>
      <c r="B24" s="34"/>
      <c r="C24" s="34"/>
      <c r="D24" s="34"/>
      <c r="E24" s="34"/>
      <c r="F24" s="34"/>
      <c r="G24" s="34"/>
    </row>
    <row r="25" customFormat="false" ht="15" hidden="false" customHeight="false" outlineLevel="0" collapsed="false">
      <c r="A25" s="34"/>
      <c r="B25" s="34"/>
      <c r="C25" s="34"/>
      <c r="D25" s="34"/>
      <c r="E25" s="34"/>
      <c r="F25" s="34"/>
      <c r="G25" s="34"/>
    </row>
  </sheetData>
  <autoFilter ref="A3:G21"/>
  <mergeCells count="3">
    <mergeCell ref="A1:G1"/>
    <mergeCell ref="A2:G2"/>
    <mergeCell ref="A23: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26"/>
    <col collapsed="false" customWidth="true" hidden="false" outlineLevel="0" max="4" min="4" style="0" width="86"/>
  </cols>
  <sheetData>
    <row r="1" customFormat="false" ht="21.75" hidden="false" customHeight="true" outlineLevel="0" collapsed="false">
      <c r="A1" s="1" t="s">
        <v>712</v>
      </c>
      <c r="B1" s="1"/>
      <c r="C1" s="1"/>
      <c r="D1" s="1"/>
    </row>
    <row r="2" customFormat="false" ht="15" hidden="false" customHeight="false" outlineLevel="0" collapsed="false">
      <c r="A2" s="2" t="s">
        <v>713</v>
      </c>
      <c r="B2" s="2"/>
      <c r="C2" s="2"/>
      <c r="D2" s="2"/>
    </row>
    <row r="3" customFormat="false" ht="24" hidden="false" customHeight="true" outlineLevel="0" collapsed="false">
      <c r="A3" s="8" t="s">
        <v>714</v>
      </c>
      <c r="B3" s="8" t="s">
        <v>715</v>
      </c>
      <c r="C3" s="8" t="s">
        <v>716</v>
      </c>
      <c r="D3" s="8" t="s">
        <v>717</v>
      </c>
    </row>
    <row r="4" customFormat="false" ht="22.35" hidden="false" customHeight="false" outlineLevel="0" collapsed="false">
      <c r="A4" s="11" t="s">
        <v>718</v>
      </c>
      <c r="B4" s="7" t="s">
        <v>719</v>
      </c>
      <c r="C4" s="7" t="s">
        <v>720</v>
      </c>
      <c r="D4" s="7" t="s">
        <v>721</v>
      </c>
    </row>
    <row r="5" customFormat="false" ht="22.35" hidden="false" customHeight="false" outlineLevel="0" collapsed="false">
      <c r="A5" s="35" t="s">
        <v>722</v>
      </c>
      <c r="B5" s="36" t="s">
        <v>723</v>
      </c>
      <c r="C5" s="36" t="s">
        <v>724</v>
      </c>
      <c r="D5" s="36" t="s">
        <v>725</v>
      </c>
    </row>
    <row r="6" customFormat="false" ht="22.35" hidden="false" customHeight="false" outlineLevel="0" collapsed="false">
      <c r="A6" s="11" t="s">
        <v>726</v>
      </c>
      <c r="B6" s="7" t="s">
        <v>727</v>
      </c>
      <c r="C6" s="7" t="s">
        <v>724</v>
      </c>
      <c r="D6" s="7" t="s">
        <v>728</v>
      </c>
    </row>
    <row r="7" customFormat="false" ht="22.35" hidden="false" customHeight="false" outlineLevel="0" collapsed="false">
      <c r="A7" s="35" t="s">
        <v>729</v>
      </c>
      <c r="B7" s="36" t="s">
        <v>730</v>
      </c>
      <c r="C7" s="36" t="s">
        <v>731</v>
      </c>
      <c r="D7" s="36" t="s">
        <v>732</v>
      </c>
    </row>
    <row r="8" customFormat="false" ht="22.35" hidden="false" customHeight="false" outlineLevel="0" collapsed="false">
      <c r="A8" s="11" t="s">
        <v>733</v>
      </c>
      <c r="B8" s="7" t="s">
        <v>734</v>
      </c>
      <c r="C8" s="7" t="s">
        <v>720</v>
      </c>
      <c r="D8" s="7" t="s">
        <v>735</v>
      </c>
    </row>
    <row r="10" customFormat="false" ht="15" hidden="false" customHeight="true" outlineLevel="0" collapsed="false">
      <c r="A10" s="34" t="s">
        <v>736</v>
      </c>
      <c r="B10" s="34"/>
      <c r="C10" s="34"/>
      <c r="D10" s="34"/>
    </row>
    <row r="11" customFormat="false" ht="15" hidden="false" customHeight="false" outlineLevel="0" collapsed="false">
      <c r="A11" s="34"/>
      <c r="B11" s="34"/>
      <c r="C11" s="34"/>
      <c r="D11" s="34"/>
    </row>
    <row r="12" customFormat="false" ht="15" hidden="false" customHeight="false" outlineLevel="0" collapsed="false">
      <c r="A12" s="34"/>
      <c r="B12" s="34"/>
      <c r="C12" s="34"/>
      <c r="D12" s="34"/>
    </row>
    <row r="13" customFormat="false" ht="15" hidden="false" customHeight="false" outlineLevel="0" collapsed="false">
      <c r="A13" s="34"/>
      <c r="B13" s="34"/>
      <c r="C13" s="34"/>
      <c r="D13" s="34"/>
    </row>
  </sheetData>
  <mergeCells count="3">
    <mergeCell ref="A1:D1"/>
    <mergeCell ref="A2:D2"/>
    <mergeCell ref="A10: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2"/>
    <col collapsed="false" customWidth="true" hidden="false" outlineLevel="0" max="4" min="4" style="0" width="30"/>
    <col collapsed="false" customWidth="true" hidden="false" outlineLevel="0" max="5" min="5" style="0" width="26"/>
    <col collapsed="false" customWidth="true" hidden="false" outlineLevel="0" max="6" min="6" style="0" width="56"/>
    <col collapsed="false" customWidth="true" hidden="false" outlineLevel="0" max="7" min="7" style="0" width="76"/>
  </cols>
  <sheetData>
    <row r="1" customFormat="false" ht="21.75" hidden="false" customHeight="true" outlineLevel="0" collapsed="false">
      <c r="A1" s="1" t="s">
        <v>737</v>
      </c>
      <c r="B1" s="1"/>
      <c r="C1" s="1"/>
      <c r="D1" s="1"/>
      <c r="E1" s="1"/>
      <c r="F1" s="1"/>
      <c r="G1" s="1"/>
    </row>
    <row r="2" customFormat="false" ht="15" hidden="false" customHeight="false" outlineLevel="0" collapsed="false">
      <c r="A2" s="2" t="s">
        <v>738</v>
      </c>
      <c r="B2" s="2"/>
      <c r="C2" s="2"/>
      <c r="D2" s="2"/>
      <c r="E2" s="2"/>
      <c r="F2" s="2"/>
      <c r="G2" s="2"/>
    </row>
    <row r="3" customFormat="false" ht="30" hidden="false" customHeight="true" outlineLevel="0" collapsed="false">
      <c r="A3" s="8" t="s">
        <v>739</v>
      </c>
      <c r="B3" s="8" t="s">
        <v>549</v>
      </c>
      <c r="C3" s="8" t="s">
        <v>740</v>
      </c>
      <c r="D3" s="8" t="s">
        <v>741</v>
      </c>
      <c r="E3" s="8" t="s">
        <v>742</v>
      </c>
      <c r="F3" s="8" t="s">
        <v>743</v>
      </c>
      <c r="G3" s="8" t="s">
        <v>744</v>
      </c>
    </row>
    <row r="4" customFormat="false" ht="32.8" hidden="false" customHeight="false" outlineLevel="0" collapsed="false">
      <c r="A4" s="11" t="s">
        <v>51</v>
      </c>
      <c r="B4" s="7" t="s">
        <v>55</v>
      </c>
      <c r="C4" s="7" t="s">
        <v>745</v>
      </c>
      <c r="D4" s="7" t="s">
        <v>746</v>
      </c>
      <c r="E4" s="7" t="s">
        <v>747</v>
      </c>
      <c r="F4" s="7" t="s">
        <v>748</v>
      </c>
      <c r="G4" s="7" t="s">
        <v>749</v>
      </c>
    </row>
    <row r="5" customFormat="false" ht="22.35" hidden="false" customHeight="false" outlineLevel="0" collapsed="false">
      <c r="A5" s="35" t="s">
        <v>52</v>
      </c>
      <c r="B5" s="36" t="s">
        <v>56</v>
      </c>
      <c r="C5" s="36" t="s">
        <v>750</v>
      </c>
      <c r="D5" s="36" t="s">
        <v>751</v>
      </c>
      <c r="E5" s="36" t="s">
        <v>752</v>
      </c>
      <c r="F5" s="36" t="s">
        <v>753</v>
      </c>
      <c r="G5" s="36" t="s">
        <v>754</v>
      </c>
    </row>
    <row r="6" customFormat="false" ht="53.7" hidden="false" customHeight="false" outlineLevel="0" collapsed="false">
      <c r="A6" s="11" t="s">
        <v>53</v>
      </c>
      <c r="B6" s="7" t="s">
        <v>57</v>
      </c>
      <c r="C6" s="7" t="s">
        <v>755</v>
      </c>
      <c r="D6" s="7" t="s">
        <v>756</v>
      </c>
      <c r="E6" s="7" t="s">
        <v>757</v>
      </c>
      <c r="F6" s="7" t="s">
        <v>758</v>
      </c>
      <c r="G6" s="7" t="s">
        <v>759</v>
      </c>
    </row>
    <row r="8" customFormat="false" ht="15" hidden="false" customHeight="true" outlineLevel="0" collapsed="false">
      <c r="A8" s="34" t="s">
        <v>760</v>
      </c>
      <c r="B8" s="34"/>
      <c r="C8" s="34"/>
      <c r="D8" s="34"/>
      <c r="E8" s="34"/>
      <c r="F8" s="34"/>
      <c r="G8" s="34"/>
    </row>
    <row r="9" customFormat="false" ht="15" hidden="false" customHeight="false" outlineLevel="0" collapsed="false">
      <c r="A9" s="34"/>
      <c r="B9" s="34"/>
      <c r="C9" s="34"/>
      <c r="D9" s="34"/>
      <c r="E9" s="34"/>
      <c r="F9" s="34"/>
      <c r="G9" s="34"/>
    </row>
    <row r="10" customFormat="false" ht="15" hidden="false" customHeight="false" outlineLevel="0" collapsed="false">
      <c r="A10" s="34"/>
      <c r="B10" s="34"/>
      <c r="C10" s="34"/>
      <c r="D10" s="34"/>
      <c r="E10" s="34"/>
      <c r="F10" s="34"/>
      <c r="G10" s="34"/>
    </row>
    <row r="11" customFormat="false" ht="15" hidden="false" customHeight="false" outlineLevel="0" collapsed="false">
      <c r="A11" s="34"/>
      <c r="B11" s="34"/>
      <c r="C11" s="34"/>
      <c r="D11" s="34"/>
      <c r="E11" s="34"/>
      <c r="F11" s="34"/>
      <c r="G11" s="34"/>
    </row>
  </sheetData>
  <mergeCells count="3">
    <mergeCell ref="A1:G1"/>
    <mergeCell ref="A2:G2"/>
    <mergeCell ref="A8: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4"/>
    <col collapsed="false" customWidth="true" hidden="false" outlineLevel="0" max="4" min="4" style="0" width="82"/>
    <col collapsed="false" customWidth="true" hidden="false" outlineLevel="0" max="5" min="5" style="0" width="11"/>
    <col collapsed="false" customWidth="true" hidden="false" outlineLevel="0" max="6" min="6" style="0" width="74"/>
  </cols>
  <sheetData>
    <row r="1" customFormat="false" ht="21.75" hidden="false" customHeight="true" outlineLevel="0" collapsed="false">
      <c r="A1" s="1" t="s">
        <v>761</v>
      </c>
      <c r="B1" s="1"/>
      <c r="C1" s="1"/>
      <c r="D1" s="1"/>
      <c r="E1" s="1"/>
      <c r="F1" s="1"/>
    </row>
    <row r="2" customFormat="false" ht="15" hidden="false" customHeight="false" outlineLevel="0" collapsed="false">
      <c r="A2" s="2" t="s">
        <v>762</v>
      </c>
      <c r="B2" s="2"/>
      <c r="C2" s="2"/>
      <c r="D2" s="2"/>
      <c r="E2" s="2"/>
      <c r="F2" s="2"/>
    </row>
    <row r="3" customFormat="false" ht="30" hidden="false" customHeight="true" outlineLevel="0" collapsed="false">
      <c r="A3" s="8" t="s">
        <v>739</v>
      </c>
      <c r="B3" s="8" t="s">
        <v>763</v>
      </c>
      <c r="C3" s="8" t="s">
        <v>764</v>
      </c>
      <c r="D3" s="8" t="s">
        <v>765</v>
      </c>
      <c r="E3" s="8" t="s">
        <v>551</v>
      </c>
      <c r="F3" s="8" t="s">
        <v>553</v>
      </c>
    </row>
    <row r="4" customFormat="false" ht="43.25" hidden="false" customHeight="false" outlineLevel="0" collapsed="false">
      <c r="A4" s="11" t="s">
        <v>51</v>
      </c>
      <c r="B4" s="7" t="s">
        <v>766</v>
      </c>
      <c r="C4" s="7" t="s">
        <v>767</v>
      </c>
      <c r="D4" s="7" t="s">
        <v>768</v>
      </c>
      <c r="E4" s="16" t="s">
        <v>557</v>
      </c>
      <c r="F4" s="7" t="s">
        <v>769</v>
      </c>
    </row>
    <row r="5" customFormat="false" ht="22.35" hidden="false" customHeight="false" outlineLevel="0" collapsed="false">
      <c r="A5" s="35" t="s">
        <v>52</v>
      </c>
      <c r="B5" s="36" t="s">
        <v>770</v>
      </c>
      <c r="C5" s="36" t="s">
        <v>771</v>
      </c>
      <c r="D5" s="36" t="s">
        <v>772</v>
      </c>
      <c r="E5" s="12" t="s">
        <v>583</v>
      </c>
      <c r="F5" s="36" t="s">
        <v>773</v>
      </c>
    </row>
    <row r="6" customFormat="false" ht="32.8" hidden="false" customHeight="false" outlineLevel="0" collapsed="false">
      <c r="A6" s="11" t="s">
        <v>53</v>
      </c>
      <c r="B6" s="7" t="s">
        <v>774</v>
      </c>
      <c r="C6" s="7" t="s">
        <v>775</v>
      </c>
      <c r="D6" s="7" t="s">
        <v>776</v>
      </c>
      <c r="E6" s="17" t="s">
        <v>567</v>
      </c>
      <c r="F6" s="7" t="s">
        <v>777</v>
      </c>
    </row>
    <row r="8" customFormat="false" ht="15" hidden="false" customHeight="true" outlineLevel="0" collapsed="false">
      <c r="A8" s="34" t="s">
        <v>778</v>
      </c>
      <c r="B8" s="34"/>
      <c r="C8" s="34"/>
      <c r="D8" s="34"/>
      <c r="E8" s="34"/>
      <c r="F8" s="34"/>
    </row>
    <row r="9" customFormat="false" ht="15" hidden="false" customHeight="false" outlineLevel="0" collapsed="false">
      <c r="A9" s="34"/>
      <c r="B9" s="34"/>
      <c r="C9" s="34"/>
      <c r="D9" s="34"/>
      <c r="E9" s="34"/>
      <c r="F9" s="34"/>
    </row>
    <row r="10" customFormat="false" ht="15" hidden="false" customHeight="false" outlineLevel="0" collapsed="false">
      <c r="A10" s="34"/>
      <c r="B10" s="34"/>
      <c r="C10" s="34"/>
      <c r="D10" s="34"/>
      <c r="E10" s="34"/>
      <c r="F10" s="34"/>
    </row>
    <row r="11" customFormat="false" ht="15" hidden="false" customHeight="false" outlineLevel="0" collapsed="false">
      <c r="A11" s="34"/>
      <c r="B11" s="34"/>
      <c r="C11" s="34"/>
      <c r="D11" s="34"/>
      <c r="E11" s="34"/>
      <c r="F11" s="34"/>
    </row>
    <row r="12" customFormat="false" ht="15" hidden="false" customHeight="false" outlineLevel="0" collapsed="false">
      <c r="A12" s="34"/>
      <c r="B12" s="34"/>
      <c r="C12" s="34"/>
      <c r="D12" s="34"/>
      <c r="E12" s="34"/>
      <c r="F12" s="34"/>
    </row>
  </sheetData>
  <mergeCells count="3">
    <mergeCell ref="A1:F1"/>
    <mergeCell ref="A2:F2"/>
    <mergeCell ref="A8: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2026-09-10T01:40:19Z</dcterms:created>
  <dc:creator>openpyxl</dc:creator>
  <dc:description/>
  <dc:language>en-US</dc:language>
  <cp:lastModifiedBy/>
  <dcterms:modified xsi:type="dcterms:W3CDTF">2026-09-10T01:40:19Z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